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tr\Projects\Hanson\_attachments\"/>
    </mc:Choice>
  </mc:AlternateContent>
  <xr:revisionPtr revIDLastSave="0" documentId="8_{DFCD92CD-9738-4B69-B979-E5413F4098E3}" xr6:coauthVersionLast="47" xr6:coauthVersionMax="47" xr10:uidLastSave="{00000000-0000-0000-0000-000000000000}"/>
  <bookViews>
    <workbookView xWindow="-110" yWindow="-110" windowWidth="25820" windowHeight="15500" tabRatio="964" xr2:uid="{7ECBB51F-3D2C-4206-B263-4B58E8B37DD1}"/>
  </bookViews>
  <sheets>
    <sheet name="MDR" sheetId="2" r:id="rId1"/>
    <sheet name="4.1.1 Level (L1)" sheetId="4" r:id="rId2"/>
    <sheet name="4.1.2 Level (L2)" sheetId="5" r:id="rId3"/>
    <sheet name="4.1.3 Level (L3)" sheetId="6" r:id="rId4"/>
    <sheet name="4.1.4 (Sector (N1)" sheetId="7" r:id="rId5"/>
    <sheet name="4.1.5 (Sub-Sector (N2)" sheetId="8" r:id="rId6"/>
    <sheet name="4.1.6 (Sheet No)" sheetId="16" r:id="rId7"/>
    <sheet name="Dwg Disc Code" sheetId="15" r:id="rId8"/>
    <sheet name="4.2.4 (Tank Farm)" sheetId="11" r:id="rId9"/>
    <sheet name="4.7 - Building Numbers" sheetId="1" r:id="rId10"/>
    <sheet name="Discipline (4.8)" sheetId="9" r:id="rId11"/>
    <sheet name="GECMS (Att 1)" sheetId="12" r:id="rId12"/>
    <sheet name="Doc Type (Att 2, 3, 4)" sheetId="10" r:id="rId13"/>
    <sheet name="Con Doc Type (Att 3)" sheetId="13" r:id="rId14"/>
    <sheet name="Prg Mgmt Doc Type (Att 4)" sheetId="14" r:id="rId15"/>
  </sheets>
  <definedNames>
    <definedName name="_xlnm._FilterDatabase" localSheetId="13" hidden="1">'Con Doc Type (Att 3)'!$A$1:$E$1</definedName>
    <definedName name="_xlnm._FilterDatabase" localSheetId="12" hidden="1">'Doc Type (Att 2, 3, 4)'!$A$1:$F$304</definedName>
    <definedName name="_xlnm._FilterDatabase" localSheetId="11" hidden="1">'GECMS (Att 1)'!$A$1:$E$97</definedName>
    <definedName name="_xlnm._FilterDatabase" localSheetId="0" hidden="1">MDR!$A$7:$Z$123</definedName>
    <definedName name="_xlnm._FilterDatabase" localSheetId="14" hidden="1">'Prg Mgmt Doc Type (Att 4)'!$A$1:$D$1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10" l="1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C12" i="11"/>
  <c r="C11" i="11"/>
  <c r="C10" i="11"/>
  <c r="C9" i="11"/>
  <c r="C8" i="11"/>
  <c r="C7" i="11"/>
  <c r="C6" i="11"/>
  <c r="C5" i="11"/>
  <c r="C4" i="11"/>
  <c r="C3" i="11"/>
  <c r="C2" i="11"/>
  <c r="C6" i="16"/>
  <c r="C5" i="16"/>
  <c r="C4" i="16"/>
  <c r="C3" i="16"/>
  <c r="C2" i="16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7" i="8"/>
  <c r="C6" i="8"/>
  <c r="C5" i="8"/>
  <c r="C4" i="8"/>
  <c r="C3" i="8"/>
  <c r="C2" i="8"/>
  <c r="C8" i="6"/>
  <c r="C7" i="6"/>
  <c r="C6" i="6"/>
  <c r="C5" i="6"/>
  <c r="C4" i="6"/>
  <c r="C3" i="6"/>
  <c r="C2" i="6"/>
  <c r="C9" i="4"/>
  <c r="C8" i="4"/>
  <c r="C7" i="4"/>
  <c r="C6" i="4"/>
  <c r="C5" i="4"/>
  <c r="C4" i="4"/>
  <c r="C3" i="4"/>
  <c r="C2" i="4"/>
  <c r="C3" i="5"/>
  <c r="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tc={D4557D52-E7D8-4D0A-B4E8-65A1A3D2966D}</author>
    <author>tc={1FB74A6A-8926-4522-952D-08D62DBA52CF}</author>
    <author>tc={238E6D2F-24FE-475E-A58D-CFB3260AE045}</author>
    <author>tc={EF50B128-188B-43B3-92B2-A9386D47C99A}</author>
    <author>tc={9A4116F2-40F6-4AAD-9AA7-3949CFC784A5}</author>
  </authors>
  <commentList>
    <comment ref="F5" authorId="0" shapeId="0" xr:uid="{D4557D52-E7D8-4D0A-B4E8-65A1A3D296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Provided by Lilly</t>
      </text>
    </comment>
    <comment ref="W5" authorId="1" shapeId="0" xr:uid="{1FB74A6A-8926-4522-952D-08D62DBA52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Provided by Lilly</t>
      </text>
    </comment>
    <comment ref="R7" authorId="2" shapeId="0" xr:uid="{238E6D2F-24FE-475E-A58D-CFB3260AE045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LP100-DI-00000002, P&amp;ID Lead Sheet 2</t>
      </text>
    </comment>
    <comment ref="B39" authorId="3" shapeId="0" xr:uid="{EF50B128-188B-43B3-92B2-A9386D47C9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 drawing
</t>
      </text>
    </comment>
    <comment ref="B40" authorId="4" shapeId="0" xr:uid="{9A4116F2-40F6-4AAD-9AA7-3949CFC784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 drawing</t>
      </text>
    </comment>
  </commentList>
</comments>
</file>

<file path=xl/sharedStrings.xml><?xml version="1.0" encoding="utf-8"?>
<sst xmlns="http://schemas.openxmlformats.org/spreadsheetml/2006/main" count="3737" uniqueCount="1360">
  <si>
    <t>Building
Number</t>
  </si>
  <si>
    <t>Description</t>
  </si>
  <si>
    <t>WBS Node ID</t>
  </si>
  <si>
    <t>General</t>
  </si>
  <si>
    <t>GEN</t>
  </si>
  <si>
    <t>STE</t>
  </si>
  <si>
    <t>Peptide Synthesis/Purification Headblock Building</t>
  </si>
  <si>
    <t>PHB</t>
  </si>
  <si>
    <t>Peptide Synthesis/Purification Manufacturing Building 1</t>
  </si>
  <si>
    <t>PP1</t>
  </si>
  <si>
    <t>Peptide Synthesis A Manufacturing Building 1</t>
  </si>
  <si>
    <t>SA1</t>
  </si>
  <si>
    <t>Peptide Synthesis B Manufacturing Building 1</t>
  </si>
  <si>
    <t>SB1</t>
  </si>
  <si>
    <t>Peptide Synthesis/Purification Building 1 E-Building 1</t>
  </si>
  <si>
    <t>Peptide Synthesis/Purification Building 1 E-Building 2</t>
  </si>
  <si>
    <t>Peptide Synthesis/Purification Manufacturing Building 2</t>
  </si>
  <si>
    <t>PP2</t>
  </si>
  <si>
    <t>Peptide Synthesis/Purification Building 2 E-Building 1</t>
  </si>
  <si>
    <t>Peptide Synthesis/Purification Building 2 E-Building 2</t>
  </si>
  <si>
    <t>Small Molecule Headblock Building 1</t>
  </si>
  <si>
    <t>SMM</t>
  </si>
  <si>
    <t>Small Molecule Manufacturing Building 1</t>
  </si>
  <si>
    <t>Small Molecule Manufacturing E-Building 1</t>
  </si>
  <si>
    <t>Small Molecule Headblock Building 2</t>
  </si>
  <si>
    <t>SM2</t>
  </si>
  <si>
    <t>Small Molecule Manufacturing Building 2</t>
  </si>
  <si>
    <t>Small Molecule Manufacturing E-Building 2</t>
  </si>
  <si>
    <t>Tank Farm E-Buildings</t>
  </si>
  <si>
    <t>Various</t>
  </si>
  <si>
    <t>Central Utilities Building (CUB)</t>
  </si>
  <si>
    <t>CUB</t>
  </si>
  <si>
    <t>Main Switchgear Building</t>
  </si>
  <si>
    <t>CUB Cooling Tower E-Building</t>
  </si>
  <si>
    <t>Modular Data Center (BY LILLY)</t>
  </si>
  <si>
    <t>Fire and Rescue Center</t>
  </si>
  <si>
    <t>SPG</t>
  </si>
  <si>
    <t>Fire Pump Building</t>
  </si>
  <si>
    <t>Truck Entrance Guardhouse</t>
  </si>
  <si>
    <t>Warehouse</t>
  </si>
  <si>
    <t>WHS</t>
  </si>
  <si>
    <t>Warehouse Freezer Building</t>
  </si>
  <si>
    <t>Waste/Recycling Center</t>
  </si>
  <si>
    <t>Rail Spur Operators Building</t>
  </si>
  <si>
    <t>Administrative/Laboratory Building</t>
  </si>
  <si>
    <t>ALB</t>
  </si>
  <si>
    <t>Welcome Center</t>
  </si>
  <si>
    <t>Exterior processes/systems</t>
  </si>
  <si>
    <t>TFS</t>
  </si>
  <si>
    <t>Site Wide Facilities – Fire Water Tank</t>
  </si>
  <si>
    <t>Sanitary Sewer – Lift Station/Metering Station</t>
  </si>
  <si>
    <t>00 - General</t>
  </si>
  <si>
    <t>10 - Peptide Synthesis/Purification Headblock Building</t>
  </si>
  <si>
    <t>11 - Peptide Synthesis/Purification Manufacturing Building 1</t>
  </si>
  <si>
    <t>11 - Peptide Synthesis A Manufacturing Building 1</t>
  </si>
  <si>
    <t>11 - Peptide Synthesis B Manufacturing Building 1</t>
  </si>
  <si>
    <t>12 - Peptide Synthesis/Purification Building 1 E-Building 1</t>
  </si>
  <si>
    <t>13 - Peptide Synthesis/Purification Building 1 E-Building 2</t>
  </si>
  <si>
    <t>16 - Peptide Synthesis/Purification Manufacturing Building 2</t>
  </si>
  <si>
    <t>17 - Peptide Synthesis/Purification Building 2 E-Building 1</t>
  </si>
  <si>
    <t>18 - Peptide Synthesis/Purification Building 2 E-Building 2</t>
  </si>
  <si>
    <t>30 - Small Molecule Headblock Building 1</t>
  </si>
  <si>
    <t>31 - Small Molecule Manufacturing Building 1</t>
  </si>
  <si>
    <t>32 - Small Molecule Manufacturing E-Building 1</t>
  </si>
  <si>
    <t>35 - Small Molecule Headblock Building 2</t>
  </si>
  <si>
    <t>36 - Small Molecule Manufacturing Building 2</t>
  </si>
  <si>
    <t>37 - Small Molecule Manufacturing E-Building 2</t>
  </si>
  <si>
    <t>40 - Tank Farm E-Buildings</t>
  </si>
  <si>
    <t>41 - Tank Farm E-Buildings</t>
  </si>
  <si>
    <t>42 - Tank Farm E-Buildings</t>
  </si>
  <si>
    <t>43 - Tank Farm E-Buildings</t>
  </si>
  <si>
    <t>44 - Tank Farm E-Buildings</t>
  </si>
  <si>
    <t>45 - Tank Farm E-Buildings</t>
  </si>
  <si>
    <t>46 - Tank Farm E-Buildings</t>
  </si>
  <si>
    <t>47 - Tank Farm E-Buildings</t>
  </si>
  <si>
    <t>48 - Tank Farm E-Buildings</t>
  </si>
  <si>
    <t>49 - Tank Farm E-Buildings</t>
  </si>
  <si>
    <t>50 - Central Utilities Building (CUB)</t>
  </si>
  <si>
    <t>51 - Main Switchgear Building</t>
  </si>
  <si>
    <t>52 - CUB Cooling Tower E-Building</t>
  </si>
  <si>
    <t>53 - Modular Data Center (BY LILLY)</t>
  </si>
  <si>
    <t>55 - Fire and Rescue Center</t>
  </si>
  <si>
    <t>56 - Fire Pump Building</t>
  </si>
  <si>
    <t>58 - Truck Entrance Guardhouse</t>
  </si>
  <si>
    <t>60 - Warehouse</t>
  </si>
  <si>
    <t>61 - Warehouse Freezer Building</t>
  </si>
  <si>
    <t>65 - Waste/Recycling Center</t>
  </si>
  <si>
    <t>67 - Rail Spur Operators Building</t>
  </si>
  <si>
    <t>70 - Administrative/Laboratory Building</t>
  </si>
  <si>
    <t>75 - Welcome Center</t>
  </si>
  <si>
    <t>Y - Exterior processes/systems</t>
  </si>
  <si>
    <t>Y - Site Wide Facilities – Fire Water Tank</t>
  </si>
  <si>
    <t>Y - Sanitary Sewer – Lift Station/Metering Station</t>
  </si>
  <si>
    <t>Document Title</t>
  </si>
  <si>
    <t>Schedule</t>
  </si>
  <si>
    <t>MDR</t>
  </si>
  <si>
    <t>Quality Plan</t>
  </si>
  <si>
    <t>3D Model</t>
  </si>
  <si>
    <t>Model Review Report</t>
  </si>
  <si>
    <t>Discipline</t>
  </si>
  <si>
    <t>Project management</t>
  </si>
  <si>
    <t>Engineering Management</t>
  </si>
  <si>
    <t>Mechanical</t>
  </si>
  <si>
    <t>Equipment List</t>
  </si>
  <si>
    <t>Mechanical Data sheet - 2 Loading Arms - Waste</t>
  </si>
  <si>
    <t>Mechanical Data sheet - Loading Arm - DMF</t>
  </si>
  <si>
    <t>Mechanical Data sheet - Loading Arm - MTBE</t>
  </si>
  <si>
    <t>Mechanical Data sheet - Loading Arm - CAN</t>
  </si>
  <si>
    <t>Mechanical Data sheet - 4 Gangways</t>
  </si>
  <si>
    <t>Mechanical Data sheet - 2 Safety Showers</t>
  </si>
  <si>
    <t>Technical RFQ package - Loading Arms</t>
  </si>
  <si>
    <t>TBE - Loading Arms</t>
  </si>
  <si>
    <t>Technical RFQ package - Gangways</t>
  </si>
  <si>
    <t>TBE - Gangways</t>
  </si>
  <si>
    <t>Technical RFQ package - Safety Shower</t>
  </si>
  <si>
    <t>TBE - Safety Shower</t>
  </si>
  <si>
    <t>Piping Tie-in List/Coordinate to Fluor's Scope</t>
  </si>
  <si>
    <t>Piping Bill of Material</t>
  </si>
  <si>
    <t>Piping</t>
  </si>
  <si>
    <t>Unloading Rack Area - Paving Plan</t>
  </si>
  <si>
    <t>Civil</t>
  </si>
  <si>
    <t>Foundation Plan</t>
  </si>
  <si>
    <t>Foundation Details</t>
  </si>
  <si>
    <t>Pipe Support Framing Plan</t>
  </si>
  <si>
    <t>Platform Framing Plan</t>
  </si>
  <si>
    <t>Roof Framing Plan</t>
  </si>
  <si>
    <t>Typical Sections</t>
  </si>
  <si>
    <t>Elevation Views</t>
  </si>
  <si>
    <t xml:space="preserve">Framing Details </t>
  </si>
  <si>
    <t xml:space="preserve">Calculation Package </t>
  </si>
  <si>
    <t>Structural MTO</t>
  </si>
  <si>
    <t>Structural</t>
  </si>
  <si>
    <t>Elec. Power Panel Schedule_ by Fluor / Hanson to support update</t>
  </si>
  <si>
    <t>Electrical wiring Tie-in List/Coordinate to Fluor's Scope</t>
  </si>
  <si>
    <t>Electrical Bill of Material</t>
  </si>
  <si>
    <t>Electrical Load List</t>
  </si>
  <si>
    <t xml:space="preserve">EHT Design Package (Multiple deliverbles by Sub) </t>
  </si>
  <si>
    <t>Electrical</t>
  </si>
  <si>
    <t>Instrument Index</t>
  </si>
  <si>
    <t>I/O List</t>
  </si>
  <si>
    <t>Ins. Cable Schedule</t>
  </si>
  <si>
    <t>Ins. Cable and Cable Tray Layout</t>
  </si>
  <si>
    <t>Instrument wiring Tie-in List/Coordinate to Fluor's Scope</t>
  </si>
  <si>
    <t>Instrument Bill of Material</t>
  </si>
  <si>
    <t>Instrumentation</t>
  </si>
  <si>
    <t>Numbering Schematic</t>
  </si>
  <si>
    <t>Prefix</t>
  </si>
  <si>
    <t>LP1</t>
  </si>
  <si>
    <t>Building Number (4.7)</t>
  </si>
  <si>
    <t>Lilly GECMS Drawing Code (Att 1)</t>
  </si>
  <si>
    <t>Level L1 (4.1.1)</t>
  </si>
  <si>
    <t>Level L2 (4.1.2)</t>
  </si>
  <si>
    <t>Level L3 (4.1.3)</t>
  </si>
  <si>
    <t>Sector N1 (4.1.4)</t>
  </si>
  <si>
    <t>Sub-Sector N2 (4.1.5)</t>
  </si>
  <si>
    <t>Sheet (4.1.6)</t>
  </si>
  <si>
    <t>Identifier</t>
  </si>
  <si>
    <t>Outside or General</t>
  </si>
  <si>
    <t>1st Floor</t>
  </si>
  <si>
    <t>2nd Floor</t>
  </si>
  <si>
    <t>3rd Floor</t>
  </si>
  <si>
    <t>4th Floor</t>
  </si>
  <si>
    <t>5th Floor</t>
  </si>
  <si>
    <t>6th Floor</t>
  </si>
  <si>
    <t>N</t>
  </si>
  <si>
    <t>nth Floor</t>
  </si>
  <si>
    <t>General (Default)</t>
  </si>
  <si>
    <t>Half Level</t>
  </si>
  <si>
    <t>Lookup</t>
  </si>
  <si>
    <t>B</t>
  </si>
  <si>
    <t>Basement</t>
  </si>
  <si>
    <t>M</t>
  </si>
  <si>
    <t>Mezzanine</t>
  </si>
  <si>
    <t>Interstitial</t>
  </si>
  <si>
    <t>P</t>
  </si>
  <si>
    <t>Penthouse</t>
  </si>
  <si>
    <t>R</t>
  </si>
  <si>
    <t>Roof</t>
  </si>
  <si>
    <t>U</t>
  </si>
  <si>
    <t>U/G</t>
  </si>
  <si>
    <t>n</t>
  </si>
  <si>
    <t>N/A</t>
  </si>
  <si>
    <t>A</t>
  </si>
  <si>
    <t>C</t>
  </si>
  <si>
    <t>D</t>
  </si>
  <si>
    <t>Identifer</t>
  </si>
  <si>
    <t>No sub sector</t>
  </si>
  <si>
    <t>Upper Left</t>
  </si>
  <si>
    <t>Upper Right</t>
  </si>
  <si>
    <t>Lower Left</t>
  </si>
  <si>
    <t>Lower Right</t>
  </si>
  <si>
    <t>Partial plan within a sector</t>
  </si>
  <si>
    <t>Drawing Discipline</t>
  </si>
  <si>
    <t>Sheet Number</t>
  </si>
  <si>
    <t>00000</t>
  </si>
  <si>
    <t>Placeholder</t>
  </si>
  <si>
    <t>Sequence Number (4.2.1 , .2, .3, .4, .5)</t>
  </si>
  <si>
    <t>Code</t>
  </si>
  <si>
    <t>General Engineering (common or multi-discipline)</t>
  </si>
  <si>
    <t>Project Management</t>
  </si>
  <si>
    <t>Civil Engineering</t>
  </si>
  <si>
    <t>Structural Engineering</t>
  </si>
  <si>
    <t>Architectural</t>
  </si>
  <si>
    <t>Process</t>
  </si>
  <si>
    <t>HVAC</t>
  </si>
  <si>
    <t>Plumbing</t>
  </si>
  <si>
    <t>Piping Engineering</t>
  </si>
  <si>
    <t>Mechanical Engineering</t>
  </si>
  <si>
    <t>Control Systems</t>
  </si>
  <si>
    <t>Security, IT, Fire Alarm</t>
  </si>
  <si>
    <t>Welding Quality</t>
  </si>
  <si>
    <t>Project Controls</t>
  </si>
  <si>
    <t>Procurement</t>
  </si>
  <si>
    <t>Contract Management</t>
  </si>
  <si>
    <t>Construction</t>
  </si>
  <si>
    <t>HSE, Fire Protection, LEED</t>
  </si>
  <si>
    <t>Series</t>
  </si>
  <si>
    <t>Area</t>
  </si>
  <si>
    <t>000-099</t>
  </si>
  <si>
    <t>Distribution Headers</t>
  </si>
  <si>
    <t>100-199</t>
  </si>
  <si>
    <t>200-299</t>
  </si>
  <si>
    <t>300-399</t>
  </si>
  <si>
    <t>400-499</t>
  </si>
  <si>
    <t>500-599</t>
  </si>
  <si>
    <t>600-699</t>
  </si>
  <si>
    <t>700-799</t>
  </si>
  <si>
    <t>800-899</t>
  </si>
  <si>
    <t>Plant Utilities</t>
  </si>
  <si>
    <t>900-999</t>
  </si>
  <si>
    <t>Waste Treatment</t>
  </si>
  <si>
    <t>1000-1099</t>
  </si>
  <si>
    <t>0 - Outside or General</t>
  </si>
  <si>
    <t>0 - General (Default)</t>
  </si>
  <si>
    <t>0 - No sub sector</t>
  </si>
  <si>
    <t>000</t>
  </si>
  <si>
    <t>SF</t>
  </si>
  <si>
    <t>GECMS</t>
  </si>
  <si>
    <t>A0</t>
  </si>
  <si>
    <t>A1</t>
  </si>
  <si>
    <t>A2</t>
  </si>
  <si>
    <t>A3</t>
  </si>
  <si>
    <t>A4</t>
  </si>
  <si>
    <t>A5</t>
  </si>
  <si>
    <t>GECMS -
Discipline</t>
  </si>
  <si>
    <t>GECMS
Drawing Code</t>
  </si>
  <si>
    <t>Legacy Drawing Code</t>
  </si>
  <si>
    <t>AJ</t>
  </si>
  <si>
    <t>Architectural Lead Sheet</t>
  </si>
  <si>
    <t>Title and Lead Sheets</t>
  </si>
  <si>
    <t>AS</t>
  </si>
  <si>
    <t>Architectural Site</t>
  </si>
  <si>
    <t>Architectural Site,
Plot &amp; Landscape Plans</t>
  </si>
  <si>
    <t>Exterior Elevations</t>
  </si>
  <si>
    <t>AI</t>
  </si>
  <si>
    <t>Architectural Interiors</t>
  </si>
  <si>
    <t>Architectural Floor Plans</t>
  </si>
  <si>
    <t>Room Finishes</t>
  </si>
  <si>
    <t>AE</t>
  </si>
  <si>
    <t>Architectural Elements</t>
  </si>
  <si>
    <t>HVAC Area Classification Plans</t>
  </si>
  <si>
    <t>Architectural Equipment Plans</t>
  </si>
  <si>
    <t>Reflected Ceiling Plans</t>
  </si>
  <si>
    <t>AK</t>
  </si>
  <si>
    <t>Architectural Safety</t>
  </si>
  <si>
    <t>Exterior Confined Space</t>
  </si>
  <si>
    <t>Exterior Emergency Egress</t>
  </si>
  <si>
    <t>Exterior Fall Protection</t>
  </si>
  <si>
    <t>Fire and Life Safety Plans</t>
  </si>
  <si>
    <t>Interior Confined Space</t>
  </si>
  <si>
    <t>Interior Emergency Egress</t>
  </si>
  <si>
    <t>Interior Fall Protection</t>
  </si>
  <si>
    <t>Architectural Background</t>
  </si>
  <si>
    <t>AB</t>
  </si>
  <si>
    <t>EJ</t>
  </si>
  <si>
    <t>Electrical Lead Sheet</t>
  </si>
  <si>
    <t>Title and Lead
Sheets</t>
  </si>
  <si>
    <t>E0</t>
  </si>
  <si>
    <t>EL</t>
  </si>
  <si>
    <t>Electrical Lighting</t>
  </si>
  <si>
    <t>Exterior Lighting</t>
  </si>
  <si>
    <t>E1</t>
  </si>
  <si>
    <t>Interior Lighting</t>
  </si>
  <si>
    <t>EP</t>
  </si>
  <si>
    <t>Electrical Power</t>
  </si>
  <si>
    <t>Exterior 120 208 V Power plans</t>
  </si>
  <si>
    <t>E2</t>
  </si>
  <si>
    <t>Interior 120 208 V Power plans</t>
  </si>
  <si>
    <t>Exterior 277 480 V Power plans</t>
  </si>
  <si>
    <t>E3</t>
  </si>
  <si>
    <t>Interior 277 480 V Power plans</t>
  </si>
  <si>
    <t>ES</t>
  </si>
  <si>
    <t>Electrical Site</t>
  </si>
  <si>
    <t>Exterior Substations
and Over 600V Power</t>
  </si>
  <si>
    <t>E4</t>
  </si>
  <si>
    <t>Interior Substations
and Over 600V Power</t>
  </si>
  <si>
    <t>EK</t>
  </si>
  <si>
    <t>Electrical Wiring Diagrams</t>
  </si>
  <si>
    <t>Exterior Wiring Diagrams</t>
  </si>
  <si>
    <t>E5</t>
  </si>
  <si>
    <t>Interior Wiring Diagrams</t>
  </si>
  <si>
    <t>TY</t>
  </si>
  <si>
    <t>Telecommunications Security</t>
  </si>
  <si>
    <t>Access Control Systems</t>
  </si>
  <si>
    <t>E6</t>
  </si>
  <si>
    <t>Telecommunications</t>
  </si>
  <si>
    <t>TN</t>
  </si>
  <si>
    <t>Telecommunications Data</t>
  </si>
  <si>
    <t>Exterior Wiring for all Communications</t>
  </si>
  <si>
    <t>Fire Protection</t>
  </si>
  <si>
    <t>FA</t>
  </si>
  <si>
    <t>Fire Detection and Alarm</t>
  </si>
  <si>
    <t>Fire Alarm Systems</t>
  </si>
  <si>
    <t>Interior Wiring for Communications</t>
  </si>
  <si>
    <t>Electrical Hazardous Area</t>
  </si>
  <si>
    <t>Exterior Electrical Hazardous Area Classification</t>
  </si>
  <si>
    <t>E8</t>
  </si>
  <si>
    <t>Interior Electrical
Hazardous Area Classification</t>
  </si>
  <si>
    <t>MJ</t>
  </si>
  <si>
    <t>Mechanical HVAC</t>
  </si>
  <si>
    <t>H0</t>
  </si>
  <si>
    <t>MH</t>
  </si>
  <si>
    <t>HVAC Control System Architecture</t>
  </si>
  <si>
    <t>H1</t>
  </si>
  <si>
    <t>HVAC Control Power Distribution</t>
  </si>
  <si>
    <t>H2</t>
  </si>
  <si>
    <t>HVAC Control Panel Construction</t>
  </si>
  <si>
    <t>H3</t>
  </si>
  <si>
    <t>HVAC Control Wiring Typicals</t>
  </si>
  <si>
    <t>H4</t>
  </si>
  <si>
    <t>HVAC Control
Electrical Installation Details</t>
  </si>
  <si>
    <t>H5</t>
  </si>
  <si>
    <t>HVAC Control Device Mounting Details</t>
  </si>
  <si>
    <t>H6</t>
  </si>
  <si>
    <t>HVAC Control Instrument, Electrical, and
Pneumatic Locations</t>
  </si>
  <si>
    <t>H7</t>
  </si>
  <si>
    <t>Mechanical Lead Sheets</t>
  </si>
  <si>
    <t>M0</t>
  </si>
  <si>
    <t>MP</t>
  </si>
  <si>
    <t>Mechanical Piping</t>
  </si>
  <si>
    <t>Exterior Service Piping</t>
  </si>
  <si>
    <t>M1</t>
  </si>
  <si>
    <t>Interior Service Piping</t>
  </si>
  <si>
    <t>DP</t>
  </si>
  <si>
    <t>Process Piping</t>
  </si>
  <si>
    <t>Leak Detection and Repair</t>
  </si>
  <si>
    <t>M10</t>
  </si>
  <si>
    <t>Exterior Process Piping</t>
  </si>
  <si>
    <t>M2</t>
  </si>
  <si>
    <t>Interior Process Piping</t>
  </si>
  <si>
    <t>DR</t>
  </si>
  <si>
    <t>Process Drains and Reclaims</t>
  </si>
  <si>
    <t>Interior Sewers and
Process Waste Piping Systems</t>
  </si>
  <si>
    <t>M3</t>
  </si>
  <si>
    <t>Air Handling Systems</t>
  </si>
  <si>
    <t>M4</t>
  </si>
  <si>
    <t>MI</t>
  </si>
  <si>
    <t>Mechanical Instrumentation</t>
  </si>
  <si>
    <t>HVAC
Instrumentation</t>
  </si>
  <si>
    <t>M5</t>
  </si>
  <si>
    <t>DI</t>
  </si>
  <si>
    <t>Process Instrumentation</t>
  </si>
  <si>
    <t>Flowsheets and Piping and
Instrumentation Diagram</t>
  </si>
  <si>
    <t>M6</t>
  </si>
  <si>
    <t>FX</t>
  </si>
  <si>
    <t>Fire Supression</t>
  </si>
  <si>
    <t>M7</t>
  </si>
  <si>
    <t>MS</t>
  </si>
  <si>
    <t>Mechanical Site</t>
  </si>
  <si>
    <t>Cathodic Protection
for Piping and Equipment</t>
  </si>
  <si>
    <t>M8</t>
  </si>
  <si>
    <t>Process Engineering
Flow Diagram (Internal)</t>
  </si>
  <si>
    <t>M9</t>
  </si>
  <si>
    <t>DJ</t>
  </si>
  <si>
    <t>Process Lead Sheets</t>
  </si>
  <si>
    <t>P0</t>
  </si>
  <si>
    <t>DE</t>
  </si>
  <si>
    <t>Process Electrical</t>
  </si>
  <si>
    <t>Power Distribution, Wire Numbers, and Panel Numbers</t>
  </si>
  <si>
    <t>P1</t>
  </si>
  <si>
    <t>Electrical Installation Details</t>
  </si>
  <si>
    <t>P10</t>
  </si>
  <si>
    <t>Electrical Raceway</t>
  </si>
  <si>
    <t>P11</t>
  </si>
  <si>
    <t>DV</t>
  </si>
  <si>
    <t>Process Vacuum</t>
  </si>
  <si>
    <t>Pneumatic Control Loops</t>
  </si>
  <si>
    <t>P12</t>
  </si>
  <si>
    <t>Pneumatic Raceway</t>
  </si>
  <si>
    <t>P14</t>
  </si>
  <si>
    <t>DK</t>
  </si>
  <si>
    <t>Instrumentation Mechanical Installation Details</t>
  </si>
  <si>
    <t>P15</t>
  </si>
  <si>
    <t>System Architecture</t>
  </si>
  <si>
    <t>P2</t>
  </si>
  <si>
    <t>Panel Construction Drawings</t>
  </si>
  <si>
    <t>P4</t>
  </si>
  <si>
    <t>System Configuration</t>
  </si>
  <si>
    <t>P5</t>
  </si>
  <si>
    <t>Input Output Wiring</t>
  </si>
  <si>
    <t>P6</t>
  </si>
  <si>
    <t>Serial Parallel
Device Interface and Cabling</t>
  </si>
  <si>
    <t>P7</t>
  </si>
  <si>
    <t>DQ</t>
  </si>
  <si>
    <t>Process Equipment</t>
  </si>
  <si>
    <t>Loop Typical Wiring</t>
  </si>
  <si>
    <t>P8</t>
  </si>
  <si>
    <t>SJ</t>
  </si>
  <si>
    <t>Structural Lead Sheets</t>
  </si>
  <si>
    <t>S0</t>
  </si>
  <si>
    <t>Structural Framing</t>
  </si>
  <si>
    <t>Building Structural Drawings</t>
  </si>
  <si>
    <t>S1</t>
  </si>
  <si>
    <t>Exterior Structural Elements for Waste Treatment</t>
  </si>
  <si>
    <t>S2</t>
  </si>
  <si>
    <t>PS</t>
  </si>
  <si>
    <t>Plumbing Site</t>
  </si>
  <si>
    <t>Sewers and Process Waste Piping Systems</t>
  </si>
  <si>
    <t>S3</t>
  </si>
  <si>
    <t>Survey/Mapping</t>
  </si>
  <si>
    <t>VU</t>
  </si>
  <si>
    <t>Survey Mapping Combined Utilities</t>
  </si>
  <si>
    <t>Surveys</t>
  </si>
  <si>
    <t>S4</t>
  </si>
  <si>
    <t>CP</t>
  </si>
  <si>
    <t>Civil Paving</t>
  </si>
  <si>
    <t>Parking Lots</t>
  </si>
  <si>
    <t>S5</t>
  </si>
  <si>
    <t>CI</t>
  </si>
  <si>
    <t>Civil Improvements</t>
  </si>
  <si>
    <t>Other Structures</t>
  </si>
  <si>
    <t>S6</t>
  </si>
  <si>
    <t>CS</t>
  </si>
  <si>
    <t>Civil Site</t>
  </si>
  <si>
    <t>Structural Elements for Non-Building Structures</t>
  </si>
  <si>
    <t>S7</t>
  </si>
  <si>
    <t>Other Disciplines</t>
  </si>
  <si>
    <t>XK</t>
  </si>
  <si>
    <t>Temporary Discipline</t>
  </si>
  <si>
    <t>Undetermined Temp Discipline</t>
  </si>
  <si>
    <t>U1</t>
  </si>
  <si>
    <t>Invalid</t>
  </si>
  <si>
    <t>A6</t>
  </si>
  <si>
    <t>A7</t>
  </si>
  <si>
    <t>C0</t>
  </si>
  <si>
    <t>C1</t>
  </si>
  <si>
    <t>C2</t>
  </si>
  <si>
    <t>C3</t>
  </si>
  <si>
    <t>C4</t>
  </si>
  <si>
    <t>C5</t>
  </si>
  <si>
    <t>C6</t>
  </si>
  <si>
    <t>C7</t>
  </si>
  <si>
    <t>E7</t>
  </si>
  <si>
    <t>E9</t>
  </si>
  <si>
    <t>Deprecated</t>
  </si>
  <si>
    <t>H8</t>
  </si>
  <si>
    <t>H9</t>
  </si>
  <si>
    <t>M11</t>
  </si>
  <si>
    <t>Not Applicable</t>
  </si>
  <si>
    <t>NA</t>
  </si>
  <si>
    <t>P13</t>
  </si>
  <si>
    <t>P3</t>
  </si>
  <si>
    <t>P9</t>
  </si>
  <si>
    <t>SF - Structural (Building Structural Drawings)</t>
  </si>
  <si>
    <r>
      <t>Document</t>
    </r>
    <r>
      <rPr>
        <b/>
        <sz val="5"/>
        <color indexed="8"/>
        <rFont val="Calibri"/>
        <family val="1"/>
        <charset val="204"/>
      </rPr>
      <t xml:space="preserve"> </t>
    </r>
    <r>
      <rPr>
        <b/>
        <u/>
        <sz val="5"/>
        <color indexed="8"/>
        <rFont val="Calibri"/>
        <family val="1"/>
        <charset val="204"/>
      </rPr>
      <t>Type*</t>
    </r>
    <r>
      <rPr>
        <b/>
        <sz val="5"/>
        <color indexed="8"/>
        <rFont val="Calibri"/>
        <family val="1"/>
        <charset val="204"/>
      </rPr>
      <t xml:space="preserve"> </t>
    </r>
    <r>
      <rPr>
        <b/>
        <u/>
        <sz val="5"/>
        <color indexed="8"/>
        <rFont val="Calibri"/>
        <family val="1"/>
        <charset val="204"/>
      </rPr>
      <t>(DOCTYPE)</t>
    </r>
  </si>
  <si>
    <r>
      <t>Discipline*</t>
    </r>
    <r>
      <rPr>
        <b/>
        <sz val="5"/>
        <color indexed="8"/>
        <rFont val="Calibri"/>
        <family val="1"/>
        <charset val="204"/>
      </rPr>
      <t xml:space="preserve"> </t>
    </r>
    <r>
      <rPr>
        <b/>
        <u/>
        <sz val="5"/>
        <color indexed="8"/>
        <rFont val="Calibri"/>
        <family val="1"/>
        <charset val="204"/>
      </rPr>
      <t>(DISCIPLINE)</t>
    </r>
  </si>
  <si>
    <r>
      <t>Document</t>
    </r>
    <r>
      <rPr>
        <b/>
        <sz val="5"/>
        <color indexed="8"/>
        <rFont val="Calibri"/>
        <family val="1"/>
        <charset val="204"/>
      </rPr>
      <t xml:space="preserve"> </t>
    </r>
    <r>
      <rPr>
        <b/>
        <u/>
        <sz val="5"/>
        <color indexed="8"/>
        <rFont val="Calibri"/>
        <family val="1"/>
        <charset val="204"/>
      </rPr>
      <t>Code*</t>
    </r>
    <r>
      <rPr>
        <b/>
        <sz val="5"/>
        <color indexed="8"/>
        <rFont val="Calibri"/>
        <family val="1"/>
        <charset val="204"/>
      </rPr>
      <t xml:space="preserve"> </t>
    </r>
    <r>
      <rPr>
        <b/>
        <u/>
        <sz val="5"/>
        <color indexed="8"/>
        <rFont val="Calibri"/>
        <family val="1"/>
        <charset val="204"/>
      </rPr>
      <t>(DOCCODE)</t>
    </r>
  </si>
  <si>
    <t>EXAMPLES OF DOCUMENTS - INCLUDES BUT NOT LIMITED TO THE FOLLOWING:</t>
  </si>
  <si>
    <t>200-DBK-001</t>
  </si>
  <si>
    <t>DBK</t>
  </si>
  <si>
    <t>PROJECT DATA BOOK</t>
  </si>
  <si>
    <t>200-DCN-001</t>
  </si>
  <si>
    <t>DCN</t>
  </si>
  <si>
    <t>DESIGN CHANGE NOTICE</t>
  </si>
  <si>
    <t>200-DTA-001</t>
  </si>
  <si>
    <t>DTA</t>
  </si>
  <si>
    <t>DATABASE</t>
  </si>
  <si>
    <t>200-FDN-001</t>
  </si>
  <si>
    <t>FDN</t>
  </si>
  <si>
    <t>FLOW DIAGRAM CHANGE NOTICE</t>
  </si>
  <si>
    <t>200-IOM-001</t>
  </si>
  <si>
    <t>IOM</t>
  </si>
  <si>
    <t>INSTALLATION OPERATION AND MAINTENANCE MANUAL</t>
  </si>
  <si>
    <t>200-LST-001</t>
  </si>
  <si>
    <t>LST</t>
  </si>
  <si>
    <t>LIST</t>
  </si>
  <si>
    <t>- MATERIAL HANDLING MATRIX</t>
  </si>
  <si>
    <t>200-MDR-001</t>
  </si>
  <si>
    <t>PROJECT MASTER DOCUMENT REGISTER</t>
  </si>
  <si>
    <t>200-RPT-001</t>
  </si>
  <si>
    <t>RPT</t>
  </si>
  <si>
    <t>REPORT</t>
  </si>
  <si>
    <t>- PROJECT CLOSE OUT REPORT</t>
  </si>
  <si>
    <t>200-TVR-001</t>
  </si>
  <si>
    <t>TVR</t>
  </si>
  <si>
    <t>TURNOVER DOSSIER</t>
  </si>
  <si>
    <t>210-AUT-001</t>
  </si>
  <si>
    <t>AUT</t>
  </si>
  <si>
    <t>AUTHORITY</t>
  </si>
  <si>
    <t>- PERMITTING</t>
  </si>
  <si>
    <t>210-CAL-001</t>
  </si>
  <si>
    <t>CAL</t>
  </si>
  <si>
    <t>CALCULATION</t>
  </si>
  <si>
    <t>- EARTHWORK - EXCAVATION
- SURFACE DRAINAGE
- UNDERGROUND DRAINAGE
- FINISH GRADING AND PAVING
- ROAD DESIGN
- RAILROADS
- CONTAINMENT
- HYDROLOGY
- CIVIL STRUCTURE
- PILING
- TEMPORARY CONSTRUCTION
- PIPE LOAD
- CIVIL HYDRAULIC - OVERLAND PIPE DESIGN</t>
  </si>
  <si>
    <t>210-CON-001</t>
  </si>
  <si>
    <t>CON</t>
  </si>
  <si>
    <t>CONTRACT</t>
  </si>
  <si>
    <t>- REQUEST FOR PROPOSAL - RFP
- SUPPLIER DATA DOCUMENT COMMITMENT FORM - SDDC
- TECHNICAL BID EVALUATION - TBE
- SCOPE OF WORK</t>
  </si>
  <si>
    <t>210-CWP-001</t>
  </si>
  <si>
    <t>CWP</t>
  </si>
  <si>
    <t>CONSTRUCTION WORK PACKAGE</t>
  </si>
  <si>
    <t>210-DBD-001</t>
  </si>
  <si>
    <t>DBD</t>
  </si>
  <si>
    <t>DESIGN BASIS AND CRITERIA</t>
  </si>
  <si>
    <t>- CIVIL DESIGN BASIS AND CRITERIA
- GENERAL SITE CONDITIONS</t>
  </si>
  <si>
    <t>210-DBK-001</t>
  </si>
  <si>
    <t>210-DEM-001</t>
  </si>
  <si>
    <t>DEM</t>
  </si>
  <si>
    <t>DEMOLITION</t>
  </si>
  <si>
    <t>- DOCUMENT - DRAWING</t>
  </si>
  <si>
    <t>210-DIA-001</t>
  </si>
  <si>
    <t>DIA</t>
  </si>
  <si>
    <t>DIAGRAM</t>
  </si>
  <si>
    <t>- TRAFFIC</t>
  </si>
  <si>
    <t>210-DTL-001</t>
  </si>
  <si>
    <t>DTL</t>
  </si>
  <si>
    <t>DETAILS</t>
  </si>
  <si>
    <t>- SITE PREPARATION
- ROUGH GRADING
- SURVEY
- FINISH GRADING - PAVING - DRAINAGE
- TANK CONTAINMENT - EARTHEN AND CURBS
- PONDS
- RETAINING WALLS
- SHEET PILING
- ROADS
- GATES - FENCING - BOUNDARY WALL
- RAILROADS
- EROSION CONTROL
- ROAD PAVEMENT MARKINGS - ROAD FURNITURE - SIGNAGE
- ELECTRICAL - CONTROL SYSTEM DUCTBANK
- STORMWATER DRAINAGE CHANNEL-CULVERT
- PIPE SLEEVE - PIPE CULVERT
- CIVIL ISOMETRIC
- CIVIL INTERFACE
- UNDERGROUND</t>
  </si>
  <si>
    <t>210-GAD-001</t>
  </si>
  <si>
    <t>GAD</t>
  </si>
  <si>
    <t>GENERAL ARRANGEMENT DRAWING</t>
  </si>
  <si>
    <t>- SITE PREPARATION
- FINISH GRADING - PAVING - DRAINAGE
- TANK CONTAINMENT - EARTHEN AND CURBS
- PONDS
- RETAINING WALLS
- SHEET PILING
- ROADS
- GATES - FENCING - BOUNDARY WALL
- RAILROADS
- EROSION CONTROL
- ELECTRICAL - CONTROL SYSTEM DUCTBANK
- STORMWATER DRAINAGE CHANNEL-CULVERT
- PIPE SLEEVE - PIPE CULVERT</t>
  </si>
  <si>
    <t>210-LST-001</t>
  </si>
  <si>
    <t>- MATERIAL REPORTING</t>
  </si>
  <si>
    <t>210-MTO-001</t>
  </si>
  <si>
    <t>MTO</t>
  </si>
  <si>
    <t>MATERIAL TAKE OFF</t>
  </si>
  <si>
    <t>- MATERIAL TAKE OFF - MTO</t>
  </si>
  <si>
    <t>210-PLN-001</t>
  </si>
  <si>
    <t>PLN</t>
  </si>
  <si>
    <t>PLAN</t>
  </si>
  <si>
    <t>- OVERALL SITE PLAN
- GEOTECHNICAL INVESTIGATION LOCATION PLAN
- TOPOGRAPHICAL SURVEY SETTING OUT POSITION PLAN
- SITE ENABLING WORKS PLAN
- SITE PREPARATION PLAN
- ROADS AND PAVING PLAN
- MANHOLE / CATCHBASIN PLAN
- COMBINED UNDERGROUD AND PAVING PLAN</t>
  </si>
  <si>
    <t>210-PRO-001</t>
  </si>
  <si>
    <t>PRO</t>
  </si>
  <si>
    <t>PROCUREMENT</t>
  </si>
  <si>
    <t>- TECHNICAL PACKAGE FOR REQUEST FOR QUOTATIONS
- SUPPLIER DATA DOCUMENT COMMITMENT FORM - SDDC
- TECHNICAL BID EVALUATION - TBE
- TECHNICAL PACKAGE FOR PURCHASE ORDER</t>
  </si>
  <si>
    <t>210-RPT-001</t>
  </si>
  <si>
    <t>- SITE FEASIBILITY - SELECTION
- DRAINAGE - FLOOD PLAIN - WETLANDS
- ENVIRONMENTAL
- SITE DEVELOPMENT
- GEOTECHNICAL INTERPRETIVE
- TOPOGRPAHICAL
- MISCELLANEOUS REPORT - STUDY</t>
  </si>
  <si>
    <t>210-SKT-001</t>
  </si>
  <si>
    <t>SKT</t>
  </si>
  <si>
    <t>SKETCH</t>
  </si>
  <si>
    <t>210-SPC-001</t>
  </si>
  <si>
    <t>SPC</t>
  </si>
  <si>
    <t>SPECIFICATION</t>
  </si>
  <si>
    <t>- SITE PREPARATION AND EARTHWORKS
- UNDER GROUND SURVEY
- TOPOGRAPHIC SURVEY
- ROAD AND PAVING CONSTRUCTION
- GRAVITY SEWER
- GEOTECHNICAL INVESTIGATION
- FENCE AND GATES
- NON-PROCESS UNDERGROUND PIPING
- PAINTING AND COATING</t>
  </si>
  <si>
    <t>210-STD-001</t>
  </si>
  <si>
    <t>STD</t>
  </si>
  <si>
    <t>STANDARD</t>
  </si>
  <si>
    <t>- CIVIL STANDARD DRAWING
- CIVIL NOTES &amp; LEGENDS
- ROADS AND PAVING STANDARD DRAWINGS
- FIREWATER STANDARD DETAIL
- PROCESS DRAIN TRENCH STANDARD DETAIL</t>
  </si>
  <si>
    <t>215-AUT-001</t>
  </si>
  <si>
    <t>215-CAL-001</t>
  </si>
  <si>
    <t>- PROCESS BUILDINGS AND STRUCTURES AND MODULES (INCLUDING BLAST REISISTANT DESIGN)
- NON-PROCESS BUILDINGS AND STRUCTURES  AND MODULES (INCLUDING BLAST REISISTANT DESIGN)
- PIPERACKS - STEEL OR CONCRETE
- PLATFORMS AND STAIRS AND MISCELLANEOUS STEEL
- EQUIPMENT STRUCTURES AND SUPPORTS
- SHORING AND BRACING
- RETAINING WALLS
- BRIDGES
- DYNAMIC ANALYSIS
- FOUNDATIONS
- TANK CONTAINMENT - STEEL OR CONCRETE</t>
  </si>
  <si>
    <t>215-CON-001</t>
  </si>
  <si>
    <t>215-CWP-001</t>
  </si>
  <si>
    <t>215-DBD-001</t>
  </si>
  <si>
    <t>- STRUCTURAL DESIGN BASIS AND CRITERIA
- BLAST RESISTANT BUILDING</t>
  </si>
  <si>
    <t>215-DBK-001</t>
  </si>
  <si>
    <t>215-DEM-001</t>
  </si>
  <si>
    <t>215-DTL-001</t>
  </si>
  <si>
    <t>- STRUCTURAL STEEL CONNECTION DETAILS
- PILE AND PILE CAP DETAIL
- CONCRETE STRUCTURES DETAILS
- REBAR AND FABRICATION DRAWING - SCHEDULE
- ANCHOR BOLTS
- EMBEDDED MATERIALS WITHIN CONCRETE (SLIDE PLATES, PUDDLE FLANGES, ANCHOR PLATES)
- STAIRS, LADDERS AND PLATFORMS incl GRATING
- PIPE AND CABLE TRAY MISCELLAENOUS DISCIPLINE SUPPORTS
- MANHOLE - CATCHBASIN - SUMPS - VALVE PIT - DRAIN HUB - TRENCH DETAILS, INCLUDING COVERS AND GRATING
- BUILDINGS AND SHELTERS DETAILS</t>
  </si>
  <si>
    <t>215-GAD-001</t>
  </si>
  <si>
    <t>GENERAL ARRANGEMENT DRAWIING</t>
  </si>
  <si>
    <t>- STEEL STRUCTURES STICK BUILT AND MODULAR (PLAN / ELEVATIONS)
- STEEL STAIRS TOWER STRUCTURES, EQUIPMENT SUPPORTS AND PLATFORMS
- BUILDINGS AND SHELTERS
- FOUNDATIONS
- MANHOLES, CATCHBASINS, SUMPS, TRENCHES (CAST IN SITU AND PRE-CAST)
- PILES AND PILE CAPS
- ABOVE GRADE CONCRETE STRUCTURES (TABLE TOPS, EQUIPMENT PLINTHS)
- BELOW GRADE CONCRETE STRUCTURES (PIPE AND CABLE CULVERTS, )
- BRIDGES
- DRAWINGS FOR PERMIT APPLICATION</t>
  </si>
  <si>
    <t>215-LST-001</t>
  </si>
  <si>
    <t>215-MTO-001</t>
  </si>
  <si>
    <t>215-PLN-001</t>
  </si>
  <si>
    <t>- PILE LOCATION PLAN
- FOUNDATION LOCATION PLAN</t>
  </si>
  <si>
    <t>215-PRO-001</t>
  </si>
  <si>
    <t>215-RPT-001</t>
  </si>
  <si>
    <t>- DEMOLITION-REVAMP STUDY
- STRUCTURAL DAMAGE-INTEGRITY STUDY
- MODULARIZATION-LOGISTICS STUDY
- QUALITATIVE RISK ANALYSIS - QRA
- WEIGHT MANAGEMENT
- MISCELLANEOUS REPORT - STUDY</t>
  </si>
  <si>
    <t>215-SCH-001</t>
  </si>
  <si>
    <t>SCH</t>
  </si>
  <si>
    <t>SCHEDULE</t>
  </si>
  <si>
    <t>- PILE SCHEDULE</t>
  </si>
  <si>
    <t>215-SKT-001</t>
  </si>
  <si>
    <t>215-SPC-001</t>
  </si>
  <si>
    <t>- GENERAL SITE CONDITIONS
- SURVEY FOR AS BUILT STRUCTURE TIE-POINTS - IN CASE OF BROWN FIELD PROJECTS
- PILING-DRILLED PIERS
- CONCRETE STRUCTURES
- CONCRETE REINFORCEMENT
- CONCRETE EMBEDDED MATERIALS AND ANCHOR BOLTS
- STRUCTURAL STEEL FABRICATION
- STRUCTURAL STEEL ERECTION
- MODULARIZATION
- STRUCTURAL FIREPROOFING
- MISCELLANEOUS METALS
- GROUT</t>
  </si>
  <si>
    <t>215-STD-001</t>
  </si>
  <si>
    <t>- STRUCTURAL STANDARD DRAWING
- NOTES, LEGENDS</t>
  </si>
  <si>
    <t>220-AUT-001</t>
  </si>
  <si>
    <t>220-CAL-001</t>
  </si>
  <si>
    <t>- BUILDING ENVELOPE THERMAL AND MOISTURE SIMULATION
- BUILDING AND SITE SOUND TRANSMISSION CONTROL
- BUILDING ORIENTATION
- BUILDING EMISSIONS CONTROL
- ROOF DRAIN - DOWNSPOUT</t>
  </si>
  <si>
    <t>220-CON-001</t>
  </si>
  <si>
    <t>220-CWP-001</t>
  </si>
  <si>
    <t>220-DBD-001</t>
  </si>
  <si>
    <t>- BUILDING ARCHITECTURAL PROGRAM
- BUILDING DESIGN CRITERIA
- BUILDING DATA SHEET
- ROOM CRITERIA SHEET</t>
  </si>
  <si>
    <t>220-DBK-001</t>
  </si>
  <si>
    <t>220-DEM-001</t>
  </si>
  <si>
    <t>220-DIA-001</t>
  </si>
  <si>
    <t>- PERSONNEL FLOW
- MATERIAL FLOW
- WASTE FLOW
- SPACE INTER-RELATIONSHIP</t>
  </si>
  <si>
    <t>220-DTL-001</t>
  </si>
  <si>
    <t>- ROOF
- EXTERIOR
- INTERIOR
- DOOR AND WINDOW OPENINGS
- MILLWORK - CASEWORK ELEVATION
- LOUVER</t>
  </si>
  <si>
    <t>220-ELE-001</t>
  </si>
  <si>
    <t>ELE</t>
  </si>
  <si>
    <t>ELEVATION</t>
  </si>
  <si>
    <t>- INTERIOR AND EXTERIOR BUILDING ELEVATION
- WASHROOM ELEVATION</t>
  </si>
  <si>
    <t>220-LST-001</t>
  </si>
  <si>
    <t>- BUILDING LIST
- UTILITY MATRIX
- MATERIAL REPORTING</t>
  </si>
  <si>
    <t>220-MTO-001</t>
  </si>
  <si>
    <t>220-PLN-001</t>
  </si>
  <si>
    <t>- SITE ANALYSIS
- MASTER
- FLOOR AND FALSE FLOOR
- INTERIOR AND EXTERIOR WALL FIRE RATING SEPARATION AND LIMITING DISTANCES
- INTERSTITIAL
- LIFE SAFETY - EMERGENCY RESPONSE
- ROOF
- CEILING
- STAIR
- ELEVATOR
- ENLARGED ROOM PLAN INCLUDING FURNITURE
- LANDSCAPE</t>
  </si>
  <si>
    <t>220-PRO-001</t>
  </si>
  <si>
    <t>220-RPT-001</t>
  </si>
  <si>
    <t>- CODE ANALYSIS
- LEED COMPLIANCE CHECKLIST
- BUILDING FIRE PROTECTION STUDY
- BUILDING BLAST - EXPLOSION RESISTANCE - SECURITY CONTROL STUDY</t>
  </si>
  <si>
    <t>220-SCH-001</t>
  </si>
  <si>
    <t>- ROOM FINISH
- TOILET FIXTURE MOUNTING HEIGHT
- ROOM COLOR ACCENT PAINTING
- JOINERIES
- DOOR, WINDOW, LOUVRE AND OPENINGS</t>
  </si>
  <si>
    <t>220-SEC-001</t>
  </si>
  <si>
    <t>SEC</t>
  </si>
  <si>
    <t>SECTION</t>
  </si>
  <si>
    <t>- BUILDING SECTION
- EXTERIOR AND INTERIOR WALL SECTION
- ARCHITECTURAL SKETCH</t>
  </si>
  <si>
    <t>220-SMP-001</t>
  </si>
  <si>
    <t>SMP</t>
  </si>
  <si>
    <t>SAMPLE</t>
  </si>
  <si>
    <t>- INTERIOR DESIGN AND FURNITURE SAMPLE - FINISH BOARDS</t>
  </si>
  <si>
    <t>220-SPC-001</t>
  </si>
  <si>
    <t>- ARCHITECTURAL
- PRE-ENGINEERED BUILDING</t>
  </si>
  <si>
    <t>220-STD-001</t>
  </si>
  <si>
    <t>- ARCHITECTURAL
- NOTES - LEGENDS - KEY PLAN</t>
  </si>
  <si>
    <t>220-VIS-001</t>
  </si>
  <si>
    <t>VIS</t>
  </si>
  <si>
    <t>VISUALISATION</t>
  </si>
  <si>
    <t>- RENDERING - 3D ISOMETRIC VIEW - PERSPECTIVES
- 3D ANIMATION
- BUILDING ENVELOPE MODELING</t>
  </si>
  <si>
    <t>225-CAL-001</t>
  </si>
  <si>
    <t>- HYDRAULIC CALCULATIONS
- EQUIPMENT DESIGN BASIS CALCULATIONS
- RELIEF VALVE CALCULATIONS</t>
  </si>
  <si>
    <t>225-DBD-001</t>
  </si>
  <si>
    <t>- PROCESS DESIGN CRITERIA
- PROCESS DESIGN BASIS
- CLEAN-IN-PLACE AND STEAM-IN-PLACE DESIGN CRITERIA - CIP - SIP
- UTILITY  / OFFSITE DESIGN BASIS
- LISCENSOR EVALUATION AND SELECTION</t>
  </si>
  <si>
    <t>225-DBK-001</t>
  </si>
  <si>
    <t>225-DIA-001</t>
  </si>
  <si>
    <t>- BLOCK FLOW DIAGRAM
- DESIGN PRESSURE AND DESIGN TEMPERATURE - DPDT
- SYSTEM DIAGRAM</t>
  </si>
  <si>
    <t>225-LST-001</t>
  </si>
  <si>
    <t>- MATERIAL SELECTION TABLE
- BATTERY LIMIT INTERFACE TABLE</t>
  </si>
  <si>
    <t>225-NAR-002</t>
  </si>
  <si>
    <t>NAR</t>
  </si>
  <si>
    <t>NARRATIVE</t>
  </si>
  <si>
    <t>- PROCESS CONTROL NARRATIVE
- SAFEGUARDING NARRATIVE</t>
  </si>
  <si>
    <t>225-PFD-001</t>
  </si>
  <si>
    <t>PFD</t>
  </si>
  <si>
    <t>PROCESS FLOW DIAGRAM</t>
  </si>
  <si>
    <t>225-PHL-001</t>
  </si>
  <si>
    <t>PHL</t>
  </si>
  <si>
    <t>PHILOSOPHY</t>
  </si>
  <si>
    <t>- ISOLATION PHILOSOPHY
- VENT AND DRAIN PHILOSOPHY</t>
  </si>
  <si>
    <t>225-PID-001</t>
  </si>
  <si>
    <t>PID</t>
  </si>
  <si>
    <t>PIPING AND INSTRUMENTATION DIAGRAM</t>
  </si>
  <si>
    <t>225-RPT-001</t>
  </si>
  <si>
    <t>- OPERATING GUIDELINE
- PROCESS STUDY
- PERFORMANCE TEST PROCEDURE AND REPORT
- HEAT AND MATERIAL BALANCE</t>
  </si>
  <si>
    <t>225-SUM-001</t>
  </si>
  <si>
    <t>SUM</t>
  </si>
  <si>
    <t>SUMMARY</t>
  </si>
  <si>
    <t>- EMISSION AND EFFLUENT SUMMARY
- CATALYST AND CHEMICALS SUMMARY
- ITILITIES SUMMARY
- RELIEF LOAD SUMMARY</t>
  </si>
  <si>
    <t>250-PLN-001</t>
  </si>
  <si>
    <t>- EQUIPMENT LOCATION PLANS
- LOCATION CONTROL PLANS
- STEAM &amp; CONENSATE MANIFOLD LOCATION PLANS
- UTILITY STATION LOCATION PLAN
- SAFETY SHOWER &amp; EYE-WASH LOCATION PLAN
- TIE-IN LOCATION PLANS</t>
  </si>
  <si>
    <t>250-PPL-001</t>
  </si>
  <si>
    <t>PPL</t>
  </si>
  <si>
    <t>PLOT PLANS</t>
  </si>
  <si>
    <t>- SITE PLANS
- UNIT PLOT PLANS</t>
  </si>
  <si>
    <t>250-PRO-001</t>
  </si>
  <si>
    <t>250-SKT-001</t>
  </si>
  <si>
    <t>- MTO SKETCHES
- STRESS SKETCHES</t>
  </si>
  <si>
    <t>250-SPC-001</t>
  </si>
  <si>
    <t>- PIPING DESING &amp; LAYOUT SPECIFICATION (50001)
- PIPING TIE-INs (50027)</t>
  </si>
  <si>
    <t>250-STD-001</t>
  </si>
  <si>
    <t>- PIPING STANDARD DRAWINGS
- UNDERGROUND STANDARD DETAILS</t>
  </si>
  <si>
    <t>250-TIE-001</t>
  </si>
  <si>
    <t>TIE</t>
  </si>
  <si>
    <t>TIE-IN</t>
  </si>
  <si>
    <t>251-CAL-001</t>
  </si>
  <si>
    <t>- PIPING LINE CLASS CALCULATIONS
- SPECIAL COMPONENT DESIGN CALCULATIONS</t>
  </si>
  <si>
    <t>251-DBD-001</t>
  </si>
  <si>
    <t>- PIPING LINE CLASS DESIGN BASIS
- PIPING MATERIAL CONTROL PLAN</t>
  </si>
  <si>
    <t>251-DST-001</t>
  </si>
  <si>
    <t>DST</t>
  </si>
  <si>
    <t>DATASHEET</t>
  </si>
  <si>
    <t>- SPECIALTY ITEM DATASHEETS</t>
  </si>
  <si>
    <t>251-DTL-001</t>
  </si>
  <si>
    <t>- PIPING VENT &amp; DRAIN DETAILS
- PIPING INSTRUMENT CONNECTION DETAILS
- SAMPLE CONNECTION DETAILS</t>
  </si>
  <si>
    <t>251-LST-001</t>
  </si>
  <si>
    <t>- PIPING LINE LIST
- PIPING SPECIALTY ITEM LIST
- VALVE LIST</t>
  </si>
  <si>
    <t>251-SPC-001</t>
  </si>
  <si>
    <t>- PIPING MATERIALS SPECIFICATION (50003)
- SHOP FABRICATION AND HANDLING (500025)
- FIELD FABRICATION AND INSTALLATION (50026)
- INTERNAL CLEANING OF PIPING (50028)
- PRESSURE TESTING SPECIFICATION (50050)</t>
  </si>
  <si>
    <t>251-STD-001</t>
  </si>
  <si>
    <t>- PIPING ASSSEMBLY STANDARD</t>
  </si>
  <si>
    <t>252-CAL-001</t>
  </si>
  <si>
    <t>- STRESS CALCULATIONS
- NOZZLE LOADING CALCULATIONS
- AIV/FIV ANALYIS
- TRANSPORTATION ANALYSIS</t>
  </si>
  <si>
    <t>252-DST-001</t>
  </si>
  <si>
    <t>- ENGINEERED SUPPORT DATASHEETS</t>
  </si>
  <si>
    <t>252-DTL-001</t>
  </si>
  <si>
    <t>- PIPING ENGINEERED SUPPORT DETAILS</t>
  </si>
  <si>
    <t>252-LST-001</t>
  </si>
  <si>
    <t>- ENGINEERED ITEM INDEX LIST
- PIPING STRESS LOG</t>
  </si>
  <si>
    <t>252-SPC-001</t>
  </si>
  <si>
    <t>- PIPING FLEXIBILITY SPECIFICATION
- NOZZLE LOADING SPECIFICATIONS</t>
  </si>
  <si>
    <t>252-STD-001</t>
  </si>
  <si>
    <t>255-AUT-001</t>
  </si>
  <si>
    <t>255-CAL-001</t>
  </si>
  <si>
    <t>- THERMAL DESIGN HEAT EXCHANGER
- VESSEL
- CONVEYOR
- MATERIAL FLOW
- PRELIMINARY PUMP SIZING AND HEAD - CURVE SELECTION
- VESSEL RERATES
- FINITE ELEMENT ANALYSIS</t>
  </si>
  <si>
    <t>255-CON-001</t>
  </si>
  <si>
    <t>255-CWP-001</t>
  </si>
  <si>
    <t>255-DBD-001</t>
  </si>
  <si>
    <t>- MECHANICAL DESIGN BASIS
- MECHANICAL PHILOSOPHY</t>
  </si>
  <si>
    <t>255-DBK-001</t>
  </si>
  <si>
    <t>255-DEM-001</t>
  </si>
  <si>
    <t>- DEMOLITION DOCUMENT - DRAWING</t>
  </si>
  <si>
    <t>255-DST-001</t>
  </si>
  <si>
    <t>- MECHANICAL EQUIPMENT
- NOISE</t>
  </si>
  <si>
    <t>255-DTL-001</t>
  </si>
  <si>
    <t>- EQUIPMENT OUTLINE DRAWING
- EQUIPMENT LADDER AND PLATFORM LAYOUT DRAWING
- EQUIPMENT PIPE SUPPORT AND GUIDE DRAWING
- PLATEWORKS DRAWING</t>
  </si>
  <si>
    <t>255-LAY-001</t>
  </si>
  <si>
    <t>LAY</t>
  </si>
  <si>
    <t>LAYOUT</t>
  </si>
  <si>
    <t>- SETTING PLAN
- MODULAR DESIGN
- MACHINE DESIGN DRAWING
- MATERIAL FLOW DIAGRAM-LAYOUT
- CONVEYOR - MATERIAL HANDLING LAYOUT</t>
  </si>
  <si>
    <t>255-LST-001</t>
  </si>
  <si>
    <t>- EQUIPMENT LIST
- PRICED EQUIPMENT LIST
- SPARE PARTS LIST
- LUBRICATION LIST</t>
  </si>
  <si>
    <t>255-MSD-001</t>
  </si>
  <si>
    <t>MSD</t>
  </si>
  <si>
    <t>MATERIAL SELECTION DIAGRAM</t>
  </si>
  <si>
    <t>255-MTO-001</t>
  </si>
  <si>
    <t>255-PFD-001</t>
  </si>
  <si>
    <t>- MATERIAL HANDLING</t>
  </si>
  <si>
    <t>255-PRO-001</t>
  </si>
  <si>
    <t>255-RPT-001</t>
  </si>
  <si>
    <t>- MECHANICAL REPORTS
- TECHNICAL DECISION MEMO
- TRADE OFF
- STUDY</t>
  </si>
  <si>
    <t>255-SKT-001</t>
  </si>
  <si>
    <t>- VESSEL SKETCH
- EQUIPMENT SKETCH</t>
  </si>
  <si>
    <t>255-SPC-001</t>
  </si>
  <si>
    <t>255-STD-001</t>
  </si>
  <si>
    <t>265-AUT-001</t>
  </si>
  <si>
    <t>265-CAL-001</t>
  </si>
  <si>
    <t>265-CON-001</t>
  </si>
  <si>
    <t>265-CPR-001</t>
  </si>
  <si>
    <t>265-CWP-001</t>
  </si>
  <si>
    <t>265-DBD-001</t>
  </si>
  <si>
    <t>265-DBK-001</t>
  </si>
  <si>
    <t>265-DEM-001</t>
  </si>
  <si>
    <t>265-DIA-001</t>
  </si>
  <si>
    <t>265-DST-001</t>
  </si>
  <si>
    <t>265-DTL-001</t>
  </si>
  <si>
    <t>265-HAC-001</t>
  </si>
  <si>
    <t>265-HTX-001</t>
  </si>
  <si>
    <t>CPR</t>
  </si>
  <si>
    <t>HAC</t>
  </si>
  <si>
    <t>HTX</t>
  </si>
  <si>
    <t>CONSTRUCTION POWER</t>
  </si>
  <si>
    <t>HAZARDOUS AREA CLASSIFICATION</t>
  </si>
  <si>
    <t>ELECTRICAL HEAT TRACING</t>
  </si>
  <si>
    <t>- GENERAL SPECIFICATION
- NARRATIVE EQUIPMENT SPECIFICATION</t>
  </si>
  <si>
    <t>- MECHANICAL STANDARD DRAWING</t>
  </si>
  <si>
    <t>- BUILDING SCHEDULE
- PERMITTING</t>
  </si>
  <si>
    <t>- CABLE PULLING
- GENERATOR LOADING
- UPS LOADING
- CABLE TRAY FILL
- CABLE AMPACITY
- VOLTAGE DROP
- LIGHTING, HEAT REJECTION / EMISSION
- BATTERY AND CHARGER SIZING
- EQUIPMENT SIZING
- CAPACITOR BANK SIZING
- NEUTRAL EARTH OR GROUND RESISTOR SIZING
- EARTHING OR GROUNDING
- LIGHTNING PROTECTION
- CONDUIT FILL
- TRENCH AND DUCTBANK SIZING
- CABLE SIZING
- CATHODIC PROTECTION
- SUBSTATION GROUND GRID</t>
  </si>
  <si>
    <t>- EQUIPMENT SPECIFICATION
- SINGLE LINE DIAGRAM
- PLAN &amp; DETAIL
- ABOVEGROUND POWER DISTRIBUTION LAYOUT
- UNDERGROUND POWER DISTRIBUTION LAYOUT
- ELECTRICAL EQUIPMENT LIST
- LOAD LIST
- INSTALLATION DETAIL
- CABLE SCHEDULE</t>
  </si>
  <si>
    <t>- ELECTRICAL CONSTRUCTION WORK PACKAGE
- CATHODIC PROTECTION CONSTRUCTION WORK PACKAGE
- SUBSTATION AUTOMATION CONSTRUCTION WORK PACKAGE
- ELECTRICAL HEAT TRACING CONSTRUCTION WORK PACKAGE
- HIGH VOLTAGE AND OVERHEAD CONSTRUCTION WORK PACKAGE</t>
  </si>
  <si>
    <t>- ELECTRICAL DESIGN BASIS AND CRITERIA
- SUBSTATION AUTOMATION SYSTEM DESCRIPTION
- CATHODIC PROTECTION PHILOSOPHY</t>
  </si>
  <si>
    <t>- EQUIPMENT LAYOUT
- ABOVEGROUND LAYOUT
- UNDERGROUND LAYOUT
- SINGLE LINE DIAGRAM
- MOTOR SCHEMATIC
- WIRING DIAGRAM
- CABLE AND CONDUIT SCHEDULE</t>
  </si>
  <si>
    <t>- SCHEMATIC
- THREE-LINE
- WIRING
- PHASING
- CONNECTION
- CABLE BLOCK
- SMALL POWER
- LIGHTING BLOCK
- RECEPTACLE BLOCK
- UNINTERRUPTIBLE POWER SUPPLY - UPS - POWER DISTRIBUTION BLOCK
- SYSTEM COMMUNICATION - CONTROL ARCHITECTURE BLOCK
- DIRECT CURRENT - DC LOGIC
- SUBSTATION AUTOMATION ARCHITECTURE BLOCK DIAGRAM
- SUBSTATION AUTOMATION MEMORY MAP</t>
  </si>
  <si>
    <t>- ELECTRICAL EQUIPMENT
- MOTOR</t>
  </si>
  <si>
    <t>- HARDWARE INSTALLATION DETAIL
- EARTHING OR GROUNDING DETAIL
- EQUIPMENT MOUNTING AND CONNECTION DETAIL
- ELECTRICAL HEAT TRACING INSTALLATION DETAIL</t>
  </si>
  <si>
    <t>- PLAN
- SECTION AND DETAIL
- AREA CLASS WORKSHEET
- AREA CLASS REPORT
- FUGITIVE EMISSION REPORT</t>
  </si>
  <si>
    <t>- LAYOUT
- DIAGRAM
- ELECTRICAL HEAT TRACING SET POINT SCHEDULE
- ELECTRICAL HEAT TRACING HEATER CABLE SCHEDULE
- PIPING AND INSTRUMENTATION DIAGRAM
- ISOMETRIC</t>
  </si>
  <si>
    <t>265-LAY-001</t>
  </si>
  <si>
    <t>- UNDERGROUND POWER AND CONTROL LAYOUT AND SECTION
- ABOVEGROUND POWER AND CONTROL LAYOUT AND SECTION
- FLOOR OPENING LAYOUT AND WALL PENETRATION DETAIL
- CONDUIT LAYOUT AND SECTION
- UNDERGROUND EARTHING OR GROUNDING LAYOUT
- ABOVEGROUND EARTHING OR GROUNDING LAYOUT
- LIGHTNING PROTECTION LAYOUT AND SECTION
- CABLE TRAY LAYOUT AND SECTION
- CABLE BUS, BUS DUCT
- ELECTRICAL EQUIPMENT FLOOR PLAN AND SECTION
- LIGHTING AND SMALL POWER LAYOUT
- MULTICABLE TRANSIT ARRANGEMENT AND DETAIL
- OVERHEAD STRUCTURE
- SUBSTATION SWITCHYARD
- CATHODIC PROTECTION</t>
  </si>
  <si>
    <t>265-LST-001</t>
  </si>
  <si>
    <t>LISTS</t>
  </si>
  <si>
    <t>- ELECTRICAL LOAD LIST
- ELECTRICAL EQUIPMENT LIST
- MOTOR CONTROL MATRIX
- TAG REGISTER
- TIE-IN LIST
- BATTERY LIMIT INTERFACE TABLE
- CABLE SCHEDULE
- LIGHTING AND SMALL POWER CABLE SCHEDULE
- CABLE DRUM SCHEDULE
- CONDUIT SCHEDULE
- WALL PENETRATION SCHEDULE
- SMALL PENETRATION SCHEDULE
- SUBSTATION AUTOMATION INPUT-OUTPUT LIST
- DISTRIBUTION PANEL SCHEDULE
-  LIGHTING FIXTURE SCHEDULE
- NAMEPLATE SCHEDULE</t>
  </si>
  <si>
    <t>265-MTO-001</t>
  </si>
  <si>
    <t>265-PRC-001</t>
  </si>
  <si>
    <t>PRC</t>
  </si>
  <si>
    <t>PROCEDURE</t>
  </si>
  <si>
    <t>- ELECTRICAL MOTOR TEST
- LOCKOUT/TAGOUT
- SUBSTATION ENERGIZATION, ETC.</t>
  </si>
  <si>
    <t>265-PRO-001</t>
  </si>
  <si>
    <t>265-RPT-001</t>
  </si>
  <si>
    <t>- LOAD FLOW STUDY
- EXTERNAL OR UTILITY POWER SUPPLY COMPANY REQUIREMENTS
- SHORT CIRCUIT STUDY
- EQUIPMENT INSPECTION
- LARGE MOTOR STARTING STUDY
- PLANT OPERATING MANUAL
- TRANSIENT STABILITY STUDY
- ARC FLASH STUDY
- RELAY COORDINATION AND SETTING STUDY
- HARMONIC ANALYSIS STUDY
- REACCELERATION STUDY
- AUTOMATIC RE-START - RIDE THROUGH STUDY
- LIGHTING STUDY
- LIGHTNING PROTECTION
- INDUCED VOLTAGE AND TRANSFER OF POTENTIAL
- EARTHING OR GROUNDING
- ELECTROMAGNETIC CAPABILITY - EMC
- SYSTEM RELIABILITY
- WEIGHT MANAGEMENT
- FAT - SAT - IFAT</t>
  </si>
  <si>
    <t>265-SKT-001</t>
  </si>
  <si>
    <t>265-SLD-001</t>
  </si>
  <si>
    <t>SLD</t>
  </si>
  <si>
    <t>SINGLE LINE DIAGRAM</t>
  </si>
  <si>
    <t>- OVERALL
- MEDIUM VOLTAGE
- LOW VOLTAGE
- ALTERNATING CURRENT AND DIRECT CURRENT UNINTERRUPTIBLE POWER SUPPLY
- LOW VOLTAGE MOTOR CONTROL CENTER
- PROTECTION - CONTROL - METERING - MEDIUM VOLTAGE SWITCHGEAR AND MOTOR CONTROL CENTER
- PROTECTION - CONTROL - METERING - LOW VOLTAGE SWITCHGEAR AND MOTOR CONTROL CENTER
- PROTECTION - CONTROL - METERING - GENERATOR, ETC.</t>
  </si>
  <si>
    <t>265-SPC-001</t>
  </si>
  <si>
    <t>- GENERAL ELECTRICAL DESIGN
- ELECTRICAL EQUIPMENT
- ELECTRICAL REQUIREMENTS FOR PACKAGED EQUIPMENT
- SITE INSTALLATION</t>
  </si>
  <si>
    <t>265-STD-001</t>
  </si>
  <si>
    <t>- INSTALLATION DETAILS
- SYMBOLS AND LEGENDS</t>
  </si>
  <si>
    <t>270-AUT-001</t>
  </si>
  <si>
    <t>270-CAE-001</t>
  </si>
  <si>
    <t>CAE</t>
  </si>
  <si>
    <t>CAUSE AND EFFECT DRAWING</t>
  </si>
  <si>
    <t>- CAUSE AND EFFECT; DRAWING, ETC.</t>
  </si>
  <si>
    <t>270-CAL-001</t>
  </si>
  <si>
    <t>- INTRINSIC SAFETY PARAMETER
- FOUNDATION FIELDBUS AND PROFIBUS
- UNINTERRUPTIBLE POWER SUPPLY - UPS LOADING
- CABLE TRAY LOADING
- RANDOM TRAY LOADING AMPACITY
- SAFETY INTEGRITY LEVEL - SIL VERIFICATION
- SYSTEM HEAT LOADING
- FLOW COMPENSATION
- LEVEL INSTRUMENT
- CONTROL VALVES
- RELIEF VALVES
- FLOW METERS
- THERMOWELL
- INSTRUMENT AIR CONSUMPTION</t>
  </si>
  <si>
    <t>270-CON-001</t>
  </si>
  <si>
    <t>270-CWP-001</t>
  </si>
  <si>
    <t>- INSTRUMENTATION OR CONTROL SYSTEMS</t>
  </si>
  <si>
    <t>270-DBD-001</t>
  </si>
  <si>
    <t>- CONTROLS AND SAFEGUARDING DESIGN BASIS
- CONTROLS AND SAFEGUARDING DESIGN CRITERIA
- MAIN AUTOMATION CONTRACTOR - MAC PHILOSOPHY
- MAIN INSTRUMENT VENDOR - MIV PHILOSOPHY
- TURNOVER AND COMMISSIONING PHILOSOPHY
- METERING PHILOSOPHY
- DEMOLITION PHILOSOPHY
- INSTRUMENTATION AND CONTROLS DESIGN CRITERIA</t>
  </si>
  <si>
    <t>270-DBK-001</t>
  </si>
  <si>
    <t>270-DEM-001</t>
  </si>
  <si>
    <t>- DEMOLITION; DOCUMENT OR DRAWING</t>
  </si>
  <si>
    <t>270-DIA-001</t>
  </si>
  <si>
    <t>- INTERCONNECTION AND WIRING
- CABLE BLOCK
- INTEGRATED FIBRE COMMUNICATIONS BLOCK
- WIRING SCHEMATIC
- CONTROLS ARCHITECTURE BLOCK
- NETWORK INTERFACE
- LOGIC
- LOOP
- FIELD INSTRUMENT TERMINATION
- SYSTEM BLOCK DIAGRAM
- FIRE DETECTION SYSTEM
- GAD DETECTION BLOCK DIAGRAMS</t>
  </si>
  <si>
    <t>270-DST-001</t>
  </si>
  <si>
    <t>- INSTRUMENT
- EQUIPMENT
- DDP DATASHEET</t>
  </si>
  <si>
    <t>270-DTL-001</t>
  </si>
  <si>
    <t>- MARSHALLING CABINET
- SYSTEM EQUIPMENT
- JUNCTION BOX
- MISCELLANEOUS FIELD EQUIPMENT
- INSTALLATION / HOOK-UP DETAIL</t>
  </si>
  <si>
    <t>270-LAY-001</t>
  </si>
  <si>
    <t>- INSTRUMENT LOCATION PLAN
- RACEWAY
- ABOVEGROUND INSTRUMENT CABLE-FIBRE
- UNDERGROUND EARTHING OR GROUNDING
- ABOVEGROUND EARTHING OR GROUNDING
- UNDERGROUND INSTRUMENT CABLE-FIBRE
- CONTROL ROOM-RACK ROOM-E AND I ROOM EQUIPMENT
- CONTROL ROOM-RACK ROOM-E AND I ROOM SMALL POWER
- CONTROL ROOM-RACK ROOM-E AND I ROOM CONTROL CABLE
- CONTROL ROOM-RACK ROOM-E AND I ROOM EARTHING OR GROUNDING
- CONTROL ROOM-RACK ROOM-E AND I ROOM POWER
- CONTROL ROOM-RACK ROOM-E AND I ROOM FLOOR OPENING
- CONTROL ROOM-RACK ROOM-E AND I ROOM MULTICABLE TRANSIT
- MISCELLANEOUS BUILDING EQUIPMENT LAYOUT AND SECTION
- MISCELLANEOUS BUILDING SMALL POWER LAYOUT - INDOOR - OUTDOOR
- MISCELLANEOUS BUILDING CONTROL AND CABLE LAYOUT - INDOOR - OUTDOOR
- MISCELLANEOUS BUILDING GROUNDING LAYOUT - INDOOR - OUTDOOR
- MISCELLANEOUS BUILDING POWER LAYOUT AND SECTION - INDOOR - OUTDOOR
- MISCELLANEOUS BUILDING FLOOR OPENING LAYOUT</t>
  </si>
  <si>
    <t>270-LST-001</t>
  </si>
  <si>
    <t>- ENGINEERING INSTRUMENT INDEX
- DESIGN INSTRUMENT INDEX
- INPUT-OUPUT - I-O LIST
- SOFT TAG INPUT-OUPUT - I-O LIST
- SERIAL INTERFACE LIST
- TIE IN LIST
- ANALYZER BUILDING AND SHELTER SCHEDULE
- MANUAL SAMPLE STATION SCHEDULE
- PURGE PANEL SCHEDULE
- INSTRUMENT RACK SCHEDULE
- INSTRUMENT ROOM - CONTROL ROOM - TELECOMMUNICATIONS ROOM SCHEDULE
- NAMEPLATE SCHEDULE
- RANGE - ALARM - TRIP SETTING LIST
- POWER SUPPLY LIST
- HYDROTEST AND FLUSHING MATRIX
- INSTRUMENT PRESSURE REGISTRATION TO ASME B31.3
- JUNCTION BOX - INSTRUMENT ENCLOSURE - CONTROL PANEL SCHEDULE
- CABLE SCHEDULE
- CABLE DRUM SCHEDULE
- INSTRUMENT AIR SCHEDULE</t>
  </si>
  <si>
    <t>270-MTO-001</t>
  </si>
  <si>
    <t>270-PRC-001</t>
  </si>
  <si>
    <t>- CONTROL AND SAFEGUARDING TESTING PROCEDURES</t>
  </si>
  <si>
    <t>270-PRO-001</t>
  </si>
  <si>
    <t>270-RPT-001</t>
  </si>
  <si>
    <t>- SAFETY INTEGRITY LEVEL ASSIGNMENT
- SAFETY INTEGRITY LEVEL VERIFICATION
- CONTROL SYSTEMS STUDY-EVALUATION
- FIRE AND GAS MAPPING
- CONTROL HAZARD AND OPERABILITY - FAILURE MODES EFFECTS AND DIAGNOSIC ANALYSIS - CHAZOP-FMEDA
- FUNCTIONAL SAFETY PLAN
- SAFETY FUNCTION PROOF TESTING METHODS
- INSTRUMENTATION VALIDATION PLAN
- INSTRUMENT LOCATION XYZ REPORT
- PROCESS CONTROL NARRATIVE
- SAFEGUARDING NARRATIVE
- PLANT OPERATING MANUAL
- SERVICE-MAINTENANCE MANUAL</t>
  </si>
  <si>
    <t>270-SKT-001</t>
  </si>
  <si>
    <t>270-SPC-001</t>
  </si>
  <si>
    <t>- SYSTEM EQUIPMENT
- CONTROL SYSTEMS AND INSTRUMENTATION FOR PACKAGED EQUIPMENT
- INSTRUMENT
- ADVANCED PROCESS CONTROL
- PROCESS CONTROL NETWORK CYBER SECURITY
- INSTRUMENT DATABASE IMPLEMENTATION
- SAFEGUARDING IMPLEMENTATION
- PROCESS CONTROL NARRATIVE IMPLEMENTATION
- CONTROLS CONFIGURATION AND PROGRAMMING
- SAFEGUARDING CONFIGURATION AND PROGRAMMING
- MODULE FABRICATION
- SITE INSTALLATION
- FIRE AND GAS IMPLEMENTATION DESIGN
- 3D MODEL IMPLEMENTATION SPECIFICATION - DESIGN GUIDELINE FOR INSTRUMENTATION
- INSTRUMENT RECEIVING - WAREHOUSING - CALIBRATION
- FIBER INSTALLATION AND TESTING
- SAFETY REQUIREMENT SPECIFICATION
- CLOSED CIRCUIT TELEVISION - CCTV
- NUCLEAR INSTRUMENTS
- INSTRUMENT PIPE - TUBING AND TESTING
- GAS CHROMATOGRAPHS
- RECEIVING - WAREHOUSING - INSTALLATION - CLEANING - PRESSURE TESTING
- ALARM MANAGEMENT
- GENERAL FIRE DETECTION SPECIFICATION (FOR 3RD PARTY DESIGN SUPPLY)
- GENERAL INSTRUMENT PROCUREMENT SPECIFICATION (TO ACCOMPANY INSTRUMENT DATA SHEET PROCUREMENT PACKAGES)
- PROCESS CONTROL SPECIFICATION</t>
  </si>
  <si>
    <t>270-STD-001</t>
  </si>
  <si>
    <t>- STANDARD INSTALLATION DETAIL</t>
  </si>
  <si>
    <t>275-CAL-001</t>
  </si>
  <si>
    <t>- COMMUNICATIONS AND SECURITY CAPACITY</t>
  </si>
  <si>
    <t>275-CWP-001</t>
  </si>
  <si>
    <t>- COMMUNICATIONS AND SECURITY CONSTRUCTION WORK PACKAGE</t>
  </si>
  <si>
    <t>275-DBD-001</t>
  </si>
  <si>
    <t>- COMMUNICATIONS AND SECURITY  DESIGN BASIS
- COMMUNICATIONS AND SECURITY DESIGN CRITERIA
- COMMUNICATIONS AND SECURITY PHILOSOPHY</t>
  </si>
  <si>
    <t>275-DBK-001</t>
  </si>
  <si>
    <t>275-DIA-001</t>
  </si>
  <si>
    <t>- ARCHITECTURE BLOCK
- COMMUNICATIONS AND SECURITY SYSTEM BLOCK DIAGRAM
- CAMERA SYSTEM
- ACCESS/SECURITY
- ETHERNET BLOCK DIAGRAMS</t>
  </si>
  <si>
    <t>275-DST-001</t>
  </si>
  <si>
    <t>- INSTRUMENT
- EQUIPMENT</t>
  </si>
  <si>
    <t>275-DTL-001</t>
  </si>
  <si>
    <t>- FIBRE PATCH PANEL
- NETWORK SWITCH PANEL
- MISCELLANEOUS TELECOMMUNICATIONS PANEL</t>
  </si>
  <si>
    <t>275-LAY-001</t>
  </si>
  <si>
    <t>- COMMUNICATIONS AND SECURITY EQUIPMENT LAYOUT
- COMMUNICATIONS AND SECURITY CABLE-FIBRE
- CONTROL ROOM-RACK ROOM-E AND I ROOM PHONE-DATA</t>
  </si>
  <si>
    <t>275-LST-001</t>
  </si>
  <si>
    <t>- COMMUNICATIONS AND SECURITY  TOWER SCHEDULE
- COMMUNICATIONS AND SECURITY ROOM SCHEDULE
- COMMUNICATIONS AND SECURITY INDEX</t>
  </si>
  <si>
    <t>275-RPT-001</t>
  </si>
  <si>
    <t>- COMMUNICATIONS DESIGN - FIBRE DISTRIBUTION NARRATIVE
- COMMUNICATIONS AND SECURITY SYSTEMS STUDY-EVALUATION</t>
  </si>
  <si>
    <t>275-SPC-001</t>
  </si>
  <si>
    <t>- GENERAL COMMUNICATIONS AND SECURITY DESIGN AND INSTALLATION</t>
  </si>
  <si>
    <t>275-STD-001</t>
  </si>
  <si>
    <t>- INSTALLATION DETAILS</t>
  </si>
  <si>
    <t>295-CAL-001</t>
  </si>
  <si>
    <t>295-CON-001</t>
  </si>
  <si>
    <t>- REQUEST FOR PROPOSAL - RFP
- TECHNICAL BID EVALUATION - TBE
- SCOPE OF WORK</t>
  </si>
  <si>
    <t>295-CWP-001</t>
  </si>
  <si>
    <t>295-DBD-001</t>
  </si>
  <si>
    <t>- PIPELINE DESIGN BASIS
- FLOW ASSURANCE DESIGN BASIS</t>
  </si>
  <si>
    <t>295-DST-001</t>
  </si>
  <si>
    <t>- MATERIAL DATA SHEET</t>
  </si>
  <si>
    <t>295-DWG-001</t>
  </si>
  <si>
    <t>DWG</t>
  </si>
  <si>
    <t>DRAWING</t>
  </si>
  <si>
    <t>- ALIGNMENT SHEET
- CROSSING DRAWING
- SECTION DRAWING
- TYPICAL DRAWING
- PERMIT DRAWING
- ROUTE MAP
- PROPERTY PLATS</t>
  </si>
  <si>
    <t>295-LST-001</t>
  </si>
  <si>
    <t>- BEND LIST
- SPECIALTY ITEM LIST
- CROSSING LIST</t>
  </si>
  <si>
    <t>295-MTO-001</t>
  </si>
  <si>
    <t>295-PHL-001</t>
  </si>
  <si>
    <t>- LEAK DETECTION PHILOSOPHY
- PIGGING PHILOSOPHY
- METERING PHILOSOPHY
- OPERATION AND MAINTENANCE PHILOSOPHY
- COMMISSIONING AND START-UP PHILOSOPHY
- CONTROL PHILOSOPHY</t>
  </si>
  <si>
    <t>295-PLN-001</t>
  </si>
  <si>
    <t>- HOT TAP PLAN
- CONSTRUCTION EXECUTION PLAN
- INFRASTRUCTURE AND LOGISTICS PLAN
- PIGGING PLAN
- CLEANING AND DRYING PLAN
- HYDROTEST PLAN
- TRAFFIC ACCOMMODATION PLAN TRAFFIC CONTROL PLAN</t>
  </si>
  <si>
    <t>295-PRO-001</t>
  </si>
  <si>
    <t>- TECHNICAL PACKAGE FOR REQUEST FOR QUOTATIONS
- TECHNICAL BID EVALUATION - TBE
- TECHNICAL PACKAGE FOR PURCHASE ORDER</t>
  </si>
  <si>
    <t>295-RPT-001</t>
  </si>
  <si>
    <t>- PROJECT FINAL REPORT
- CLOSEOUT REPORT
- ROUTING REPORT
- HYDRAULICS STEADY-STATE ANALYSIS
- HYDRAULICS TRANSIENT ANALYSIS
- BUOYANCY DESIGN REPORT
- MAINLINE CLASS LOCATION REPORT
- ROAD - RAIL CROSSING CALCULATION DESIGN REPORT
- PIPELINE STRESS ANALYSIS REPORT
- WALL THICKNESS REPORT
- COATING SELECTION REPORT
- MATERIAL SELECTION REPORT
- SYSTEM CONTROL AND COMMUNICATION DESIGN - SCADA
- DESIGN REPORT
- CONSTUCTABILITY REVIEW
- GEOTECHNICAL INVESTIGATION</t>
  </si>
  <si>
    <t>295-SKT-001</t>
  </si>
  <si>
    <t>- FLOW DIAGRAM
- SYSTEM SKETCH
- SCHEMATIC</t>
  </si>
  <si>
    <t>295-SPC-001</t>
  </si>
  <si>
    <r>
      <t xml:space="preserve">- ALIGNMENT SHEET SPECIFICATION - GEOGRAPHIC INFORMATION SYSTEM - GIS INTEGRATION
- PIPELINE DESIGN SPECIFICATION
- GEOTECHNICAL INVESTIGATION SPECIFICATION
- TOPOGRAPHIC SURVEY SPECIFICATION
- HYDROSTATIC TESTING SPECIFICATION
- LINE PIPE SPECIFICATION
- COATNG SPECIFICATION
- INDUCTION BENDS SPECIFICATION
- LAUNCHER - RECEIVER BARRELS SPECIFICATION
- ISOLATION KITS SPECIFICATION
- ISOLATION JOINT SPECIFICATION
- BARRED TEES SPECIFICATION
- PAINTING SPECIFICATION
- PIPELINE CONSTRUCTION SPECIFICATION
- WELDING SPECIFICATION
- HORIZONTAL DIRECTIONAL DRILLING - HDD INSTALLATION SPECIFICATION
- </t>
    </r>
    <r>
      <rPr>
        <strike/>
        <sz val="5"/>
        <color indexed="8"/>
        <rFont val="Calibri"/>
        <family val="1"/>
        <charset val="204"/>
      </rPr>
      <t xml:space="preserve">PRECOMMISSIONING SPECIFICATION
</t>
    </r>
    <r>
      <rPr>
        <sz val="5"/>
        <color indexed="8"/>
        <rFont val="Calibri"/>
        <family val="1"/>
        <charset val="204"/>
      </rPr>
      <t>- CONCRETE COATING SPECIFICATION
- NDE SPECIFICATION
- FIELD JOINT COATING SPECIFICATION
- LINE PIPE HANDLING AND STORAGE SPECIFICATION
- GEOTECHNICAL SURVEY SPECIFICATION
- VALVE SPECIFICATION
- LINE CLASS SPECIFICATION
- HORIZONTAL DIRECTIONAL DRILLING - HDD DESIGN SPECIFICATION
- SURVEY SPECIFICATION</t>
    </r>
  </si>
  <si>
    <t>653-AUT-001</t>
  </si>
  <si>
    <t>- REGULATORY COMPLIANCE
- PERMITTING
- ENVIRONMENTAL PERMITTING COMPLIANCE REQUIREMENTS</t>
  </si>
  <si>
    <t>653-DBD-001</t>
  </si>
  <si>
    <t>- FIRE PROTECTION DESIGN BASIS
- EQUIPMENT SPARING PHILOSOPHY AND OPTIMIZATION
- CONTINUOUS EMISSION MONITORING SYSTEM - CEMS - PROTOCOL
- GROUNDWATER MONITORING PROTOCOL
- LEAK DETECTION AND REPAIR PROGRAM
- PERFORMANCE TESTING PROTOCOL
- STORM WATER EFFLUENT MONITORING</t>
  </si>
  <si>
    <t>653-FHA-001</t>
  </si>
  <si>
    <t>FHA</t>
  </si>
  <si>
    <t>FIRE HAZARD ANALYSIS</t>
  </si>
  <si>
    <t>- FIRE HAZARD ANALYSIS
- FIRE RISK ASSESSMENT</t>
  </si>
  <si>
    <t>653-LOP-001</t>
  </si>
  <si>
    <t>LOP</t>
  </si>
  <si>
    <t>LOPA</t>
  </si>
  <si>
    <t>- LEVEL II LAYER OF PROTECTION ANALYSIS - LOPA - STUDY
- LEVEL III LAYER OF PROTECTION ANALYSIS - LOPA STUDY
- LEVEL III VENDOR LAYER OF PROTECTION ANALYSIS - LOPA STUDY</t>
  </si>
  <si>
    <t>653-LST-001</t>
  </si>
  <si>
    <t>- HAZARD AND EFFECTS REGISTER
- COMMITMENT REGISTER</t>
  </si>
  <si>
    <t>653-PHA-001</t>
  </si>
  <si>
    <t>PHA</t>
  </si>
  <si>
    <t>PHA STUDY</t>
  </si>
  <si>
    <t>- LEVEL I PROCESS HAZARD ANALYSIS - PHA STUDY
- LEVEL II PROCESS HAZARD ANALYSIS - PHA STUDY
- LEVEL III PROCESS HAZARD ANALYSIS - PHA STUDY
- LEVEL III VENDOR PROCESS HAZARD ANALYSIS - PHA STUDY</t>
  </si>
  <si>
    <t>653-PHL-001</t>
  </si>
  <si>
    <t>- FIRE PROTECTION PHILOSOPHY
- FIRE AND GAS PHILOSOPHY
- HEALTH SAFETY AND ENVIRONMENTAL - HSE PHILOSOPHY
- LOSS PREVENTION PHILOSOPHY
- ESCAPE - EVACUATION - RESCUE PHILOSOPHY
- ENVIRONMENTAL PHILOSOPHY
- CONTROL AND SAFEGUARDING PHILOSOPHY</t>
  </si>
  <si>
    <t>653-PLA-001</t>
  </si>
  <si>
    <t>- ENVIRONMENTAL PLAN
- PROCESS HAZARD ANALYSIS - PHA - PLAN
- HEALTH SAFETY AND ENVIRONMENTAL - HSE - PLAN
- RISK MANAGEMENT PLAN
- FIRE FIGHTING AND RESCUE PLAN
- ENVIRONMENTAL PERMITTING PLAN
- DUST ABATEMENT PLAN
- NATURALLY OCCURRING RADIOACTIVE MATERIAL - NORM - HANDLING -  STORAGE - DISPOSAL PLAN
- REHABILITATION - RE-VEGETATION - RESTORATION PLAN
- SOLID AND HAZARDOUS WASTE MANAGEMENT PLAN
- SPILL PREVENTION - CONTROL - COUNTERMEASURE  - SPCC - PLAN
- STORM WATER POLLUTION PREVENTION PLAN - SWPPP OR SW3P
- WATER POLLUTION ABATEMENT PLAN - WPAP</t>
  </si>
  <si>
    <t>653-PRC-001</t>
  </si>
  <si>
    <t>- HSE ACTION TRACKING PROCEDURE</t>
  </si>
  <si>
    <t>653-QRA-001</t>
  </si>
  <si>
    <t>QRA</t>
  </si>
  <si>
    <t>QUANTITATIVE RISK ASSESSMENT</t>
  </si>
  <si>
    <t>653-RPT-001</t>
  </si>
  <si>
    <t>- SAFETY INTEGRITY LEVEL ASSIGNMENT STUDY
- HEALTH SAFETY ENVIRONMENT - HSE ACTION CLOSURE REPORT
- CONSEQUENCE STUDY
- FIRE AND EXPLOSION RISK ASSESSMENT
- SHIP COLLISION STUDY
- BOWTIE ANALYSIS
- HELIDECK AVAILABILITY STUDY
- AS LOW AS REASONABLY PRACTICABLE - ALARP DEMONSTRATION STUDY
- NOISE STUDY
- HUMAN FACTOR ANALYSIS
- HEALTH RISK ASSESSMENT - HRA
- SAFETY CASE REPORT
- SAFETY CRITICAL ELEMENT IDENTIFICATION REPORT
- PERFORMANCE STANDARDS - HEALTH SAFETY ENVIRONMENT - HSE CRITICAL SYSTEM REPORT
- ESCAPE EVACUATION AND RESCUE ASSESSMENT
- EMERGENCY SYSTEMS SURVIVABILITY ASSESSMENT
- TEMPORARY REFUGE STUDY
- DROPPED OBJECT STUDY
- OCCUPIED BUILDINGS SITING STUDY
- SIMULTANEOUS OPERATIONS REVIEW REPORT
- RELIABILITY - AVAILABILITY - MAINTAINABILITY - RAM ANALYSIS REPORT
- HAZARDOUS AREA CLASSIFICATION - ATEX 137 - REPORT
- FIRE PROTECTION STUDY
- FIRE WATER DEMAND CALCULATION REPORT
- FIRE WATER HYDRAULIC CALCULATION REPORT
- ENVIRONMENTAL AND SOCIAL IMPACT ASSESSMENT REPORT
- AIR DISPERSION MODELING REPORT</t>
  </si>
  <si>
    <t>653-SKT-001</t>
  </si>
  <si>
    <t>- FIRE WATER LAYOUT SKETCH
- FIRE WATER PROCESS FLOW DIAGRAM SKETCH
- FIRE WATER PIPING AND INSTRUMENT DIAGRAM SKETCH
- FIRE AND GAS LOCATION SKETCH
- FIRE HAZARD ENVELOPE SKETCH
- FIRE AND SAFETY EQUIPMENT LAYOUT SKETCH
- PLOT PLAN LAYOUT - SCENARIO-BASED LAYOUT REVIEW
- HEALTH SAFETY ENVIRONMENT EQUIPMENT LOCATION SKETCH</t>
  </si>
  <si>
    <t>653-SOW-001</t>
  </si>
  <si>
    <t>SOW</t>
  </si>
  <si>
    <t>SCOPE OF WORK</t>
  </si>
  <si>
    <t>- PROCESS HAZARD ANALYSIS SCOPE OF WORK
- SAFETY INTEGRITY LEVEL ASSIGNMENT SCOPE OF WORK</t>
  </si>
  <si>
    <t>653-SPC-001</t>
  </si>
  <si>
    <t>- FIRE PROTECTION SPECIFICATION</t>
  </si>
  <si>
    <t>653-TOR-001</t>
  </si>
  <si>
    <t>TOR</t>
  </si>
  <si>
    <t>TERMS OF REFERENCE</t>
  </si>
  <si>
    <t>- LEVEL I PROCESS HAZARD ANALYSIS - PHA STUDY TERMS OF REFERENCE
- LEVEL II PROCESS HAZARD ANALYSIS - PHA STUDY TERMS OF REFERENCE
- LEVEL II LAYER OF PROTECTION ANALYSIS - LOPA STUDY TERMS OF REFERENCE
- LEVEL III PROCESS HAZARD ANALYSIS STUDY - PHA TERMS OF REFERENCE
- LEVEL III LAYER OF PROTECTION ANALYSIS - LOPA STUDY TERMS OF REFERENCE
- LEVEL III VENDOR PROCESS HAZARD - PHA ANALYSIS STUDY TERMS OF REFERENCE
- LEVEL III VENDOR LAYER OF PROTECTION ANALYSIS - LOPA STUDY TERMS OF REFERENCE
- SAFETY INTEGRITY LEVEL - SIL - ASSIGNMENT TERMS OF REFERENCE</t>
  </si>
  <si>
    <t>Document Code</t>
  </si>
  <si>
    <t>Document Type</t>
  </si>
  <si>
    <t>500‐CWP‐001</t>
  </si>
  <si>
    <t>500‐DWG‐001</t>
  </si>
  <si>
    <t>ENGINEERED LIFT STUDY</t>
  </si>
  <si>
    <t>EXE</t>
  </si>
  <si>
    <t>500‐EXE‐001</t>
  </si>
  <si>
    <t>CONSTRUCTION SCOPE OF WORK</t>
  </si>
  <si>
    <t>500‐EXE‐002</t>
  </si>
  <si>
    <t>CONSTRUCTION EXECUTION PLAN</t>
  </si>
  <si>
    <t>500‐EXE‐003</t>
  </si>
  <si>
    <t>MODULARIZATION AND FABRICATION PLAN</t>
  </si>
  <si>
    <t>FCN</t>
  </si>
  <si>
    <t>500‐FCN‐001</t>
  </si>
  <si>
    <t>FIELD CHANGE NOTICE</t>
  </si>
  <si>
    <t>ITP</t>
  </si>
  <si>
    <t>500‐ITP‐001</t>
  </si>
  <si>
    <t>INSPECTION AND TEST PLAN</t>
  </si>
  <si>
    <t>IWP</t>
  </si>
  <si>
    <t>500‐IWP‐001</t>
  </si>
  <si>
    <t>INSTALLATION WORK PACKAGE ‐ ARCHITECTURAL</t>
  </si>
  <si>
    <t>500‐IWP‐002</t>
  </si>
  <si>
    <t>INSTALLATION WORK PACKAGE ‐ CONCRETE FOUNDATIONS</t>
  </si>
  <si>
    <t>500‐IWP‐003</t>
  </si>
  <si>
    <t>INSTALLATION WORK PACKAGE ‐ ELECTRICAL</t>
  </si>
  <si>
    <t>500‐IWP‐004</t>
  </si>
  <si>
    <t>INSTALLATION WORK PACKAGE ‐ FIREPROOFING</t>
  </si>
  <si>
    <t>500‐IWP‐005</t>
  </si>
  <si>
    <t>INSTALLATION WORK PACKAGE ‐ CIVIL</t>
  </si>
  <si>
    <t>500‐IWP‐006</t>
  </si>
  <si>
    <t>INSTALLATION WORK PACKAGE ‐ AUTOMATION HARDWARE</t>
  </si>
  <si>
    <t>500‐IWP‐007</t>
  </si>
  <si>
    <t>INSTALLATION WORK PACKAGE ‐ CONTROL SYSTEMS</t>
  </si>
  <si>
    <t>500‐IWP‐008</t>
  </si>
  <si>
    <t>INSTALLATION WORK PACKAGE ‐ PILING</t>
  </si>
  <si>
    <t>500‐IWP‐009</t>
  </si>
  <si>
    <t>INSTALLATION WORK PACKAGE ‐ MECHANICAL EQUIPMENT</t>
  </si>
  <si>
    <t>500‐IWP‐010</t>
  </si>
  <si>
    <t>INSTALLATION WORK PACKAGE ‐ HVAC</t>
  </si>
  <si>
    <t>500‐IWP‐011</t>
  </si>
  <si>
    <t>INSTALLATION WORK PACKAGE ‐ PIPING</t>
  </si>
  <si>
    <t>500‐IWP‐012</t>
  </si>
  <si>
    <t>INSTALLATION WORK PACKAGE ‐ INSULATION</t>
  </si>
  <si>
    <t>500‐IWP‐013</t>
  </si>
  <si>
    <t>INSTALLATION WORK PACKAGE ‐ STRUCTURAL STEEL</t>
  </si>
  <si>
    <t>500‐IWP‐014</t>
  </si>
  <si>
    <t>INSTALLATION WORK PACKAGE ‐ ELECTRICAL HEAT TRACING</t>
  </si>
  <si>
    <t>500‐IWP‐015</t>
  </si>
  <si>
    <t>INSTALLATION WORK PACKAGE ‐ VESSEL LADDERS AND PLATFORMS</t>
  </si>
  <si>
    <t>JSA</t>
  </si>
  <si>
    <t>500‐JSA‐001</t>
  </si>
  <si>
    <t>JOB SAFETY ANALYSIS</t>
  </si>
  <si>
    <t>RDL</t>
  </si>
  <si>
    <t>500‐RDL‐001</t>
  </si>
  <si>
    <t>REDLINE DRAWING</t>
  </si>
  <si>
    <t>500‐RPT‐001</t>
  </si>
  <si>
    <t>CONSTRUCTION SAFETY REPORT</t>
  </si>
  <si>
    <t>500‐SKT‐001</t>
  </si>
  <si>
    <t>FIELD SKETCH</t>
  </si>
  <si>
    <t>500‐TVR‐001</t>
  </si>
  <si>
    <t>AQP</t>
  </si>
  <si>
    <t>100‐AQP‐001</t>
  </si>
  <si>
    <t>ACTIVITY QUALITY PLAN</t>
  </si>
  <si>
    <t>ASL</t>
  </si>
  <si>
    <t>100‐ASL‐001</t>
  </si>
  <si>
    <t>AUTHORIZED SIGNATURE LIST</t>
  </si>
  <si>
    <t>BID</t>
  </si>
  <si>
    <t>100‐BID‐001</t>
  </si>
  <si>
    <t>BID TAB</t>
  </si>
  <si>
    <t>CFN</t>
  </si>
  <si>
    <t>100‐CFN‐001</t>
  </si>
  <si>
    <t>CONFERENCE NOTE</t>
  </si>
  <si>
    <t>COR</t>
  </si>
  <si>
    <t>100‐COR‐001</t>
  </si>
  <si>
    <t>CORRESPONDENCE ‐ EXTERNAL</t>
  </si>
  <si>
    <t>100‐DBK‐001</t>
  </si>
  <si>
    <t>DATA BOOK</t>
  </si>
  <si>
    <t>100‐DCN‐001</t>
  </si>
  <si>
    <t>DDM</t>
  </si>
  <si>
    <t>100‐DDM‐001</t>
  </si>
  <si>
    <t>DOCUMENT DISTRIBUTION MATRIX</t>
  </si>
  <si>
    <t>DEV</t>
  </si>
  <si>
    <t>100‐DEV‐001</t>
  </si>
  <si>
    <t>DEVIATION</t>
  </si>
  <si>
    <t>DIS</t>
  </si>
  <si>
    <t>100‐DIS‐001</t>
  </si>
  <si>
    <t>DISCUSSION CONFIRMATION</t>
  </si>
  <si>
    <t>FAX</t>
  </si>
  <si>
    <t>100‐FAX‐001</t>
  </si>
  <si>
    <t>100‐GEN‐001</t>
  </si>
  <si>
    <t>GENERAL DOCUMENT</t>
  </si>
  <si>
    <t>IAG</t>
  </si>
  <si>
    <t>100‐IAG‐001</t>
  </si>
  <si>
    <t>INTERFACE AGREEMENT</t>
  </si>
  <si>
    <t>IOC</t>
  </si>
  <si>
    <t>100‐IOC‐001</t>
  </si>
  <si>
    <t>INTEROFFICE CORRESPONDENCE</t>
  </si>
  <si>
    <t>JOB</t>
  </si>
  <si>
    <t>100‐JOB‐001</t>
  </si>
  <si>
    <t>JOB BULLETIN</t>
  </si>
  <si>
    <t>100‐LST‐001</t>
  </si>
  <si>
    <t>LIST ‐ LOG ‐ REGISTER</t>
  </si>
  <si>
    <t>LTR</t>
  </si>
  <si>
    <t>100‐LTR‐001</t>
  </si>
  <si>
    <t>LETTER</t>
  </si>
  <si>
    <t>MOM</t>
  </si>
  <si>
    <t>100‐MOM‐001</t>
  </si>
  <si>
    <t>MINUTES OF MEETING</t>
  </si>
  <si>
    <t>MPR</t>
  </si>
  <si>
    <t>100‐MPR‐001</t>
  </si>
  <si>
    <t>MONTHLY PROGRESS REPORT</t>
  </si>
  <si>
    <t>NDA</t>
  </si>
  <si>
    <t>100‐NDA‐001</t>
  </si>
  <si>
    <t>NON‐DISCLOSURE ACKNOWLEDGEMENT</t>
  </si>
  <si>
    <t>ORG</t>
  </si>
  <si>
    <t>100‐ORG‐001</t>
  </si>
  <si>
    <t>ORGANIZATION CHART</t>
  </si>
  <si>
    <t>OVR</t>
  </si>
  <si>
    <t>100‐OVR‐001</t>
  </si>
  <si>
    <t>OVERTIME REQUEST</t>
  </si>
  <si>
    <t>PAF</t>
  </si>
  <si>
    <t>100‐PAF‐001</t>
  </si>
  <si>
    <t>PERSONNEL AUTHORIZATION FORM</t>
  </si>
  <si>
    <t>PEP</t>
  </si>
  <si>
    <t>100‐PEP‐001</t>
  </si>
  <si>
    <t>PROJECT EXECUTION PLAN</t>
  </si>
  <si>
    <t>PEX</t>
  </si>
  <si>
    <t>100‐PEX‐001</t>
  </si>
  <si>
    <t>PROJECT EXPERIENCES</t>
  </si>
  <si>
    <t>PPM</t>
  </si>
  <si>
    <t>100‐PPM‐001</t>
  </si>
  <si>
    <t>PROJECT PROCEDURE MANUAL</t>
  </si>
  <si>
    <t>100‐PRC‐001</t>
  </si>
  <si>
    <t>100‐PRO‐001</t>
  </si>
  <si>
    <t>PROCUREMENT DOCUMENT</t>
  </si>
  <si>
    <t>PTD</t>
  </si>
  <si>
    <t>100‐PTD‐001</t>
  </si>
  <si>
    <t>PROJECT TELEPHONE DIRECTORY ‐ LIST</t>
  </si>
  <si>
    <t>RFI</t>
  </si>
  <si>
    <t>100‐RFI‐001</t>
  </si>
  <si>
    <t>REQUEST FOR INFORMATION</t>
  </si>
  <si>
    <t>RFP</t>
  </si>
  <si>
    <t>100‐RFP‐001</t>
  </si>
  <si>
    <t>REQUEST FOR PROPOSAL</t>
  </si>
  <si>
    <t>RFQ</t>
  </si>
  <si>
    <t>100‐RFQ‐001</t>
  </si>
  <si>
    <t>REQUEST FOR QUOTATION</t>
  </si>
  <si>
    <t>100‐RPT‐001</t>
  </si>
  <si>
    <t>REPORT ‐ STUDY</t>
  </si>
  <si>
    <t>RSM</t>
  </si>
  <si>
    <t>100‐RSM‐001</t>
  </si>
  <si>
    <t>RESUME</t>
  </si>
  <si>
    <t>SLA</t>
  </si>
  <si>
    <t>100‐SLA‐001</t>
  </si>
  <si>
    <t>SERVICE LEVEL AGREEMENT</t>
  </si>
  <si>
    <t>100‐SOW‐001</t>
  </si>
  <si>
    <t>SWA</t>
  </si>
  <si>
    <t>100‐SWA‐001</t>
  </si>
  <si>
    <t>STOP WORK AUTHORITY</t>
  </si>
  <si>
    <t>TEQ</t>
  </si>
  <si>
    <t>100‐TEQ‐001</t>
  </si>
  <si>
    <t>TECHNICAL QUERY</t>
  </si>
  <si>
    <t>TOC</t>
  </si>
  <si>
    <t>100‐TOC‐001</t>
  </si>
  <si>
    <t>TABLE OF CONTENTS</t>
  </si>
  <si>
    <t>TRA</t>
  </si>
  <si>
    <t>100‐TRA‐001</t>
  </si>
  <si>
    <t>TRAVEL AUTHORIZATION</t>
  </si>
  <si>
    <t>TRN</t>
  </si>
  <si>
    <t>100‐TRN‐001</t>
  </si>
  <si>
    <t>TRANSMITTAL</t>
  </si>
  <si>
    <t>TRR</t>
  </si>
  <si>
    <t>100‐TRR‐001</t>
  </si>
  <si>
    <t>TRIP REQUEST</t>
  </si>
  <si>
    <t>TXP</t>
  </si>
  <si>
    <t>100‐TXP‐001</t>
  </si>
  <si>
    <t>TECHNICAL EXCEPTION</t>
  </si>
  <si>
    <t>VIP</t>
  </si>
  <si>
    <t>100‐VIP‐001</t>
  </si>
  <si>
    <t>VALUE IMPROVING PRACTICE</t>
  </si>
  <si>
    <t>WSR</t>
  </si>
  <si>
    <t>100‐WSR‐001</t>
  </si>
  <si>
    <t>WORK STOPPAGE RECORD</t>
  </si>
  <si>
    <t>275-CON-001</t>
  </si>
  <si>
    <t xml:space="preserve"> - REQUEST FOR PROPOSAL - RFP
- SUPPLIER DATA DOCUMENT COMMITMENT FORM - SDDC
- TECHNICAL BID EVALUATION - TBE
- SCOPE OF WORK</t>
  </si>
  <si>
    <t>PID/AFID (4.2)</t>
  </si>
  <si>
    <t>Service Code</t>
  </si>
  <si>
    <t>Originating P&amp;ID (4.1.4)</t>
  </si>
  <si>
    <t>Sequential Number</t>
  </si>
  <si>
    <t>ISO (4.3)</t>
  </si>
  <si>
    <t>EHT (4.4)</t>
  </si>
  <si>
    <t>ISO Identifier</t>
  </si>
  <si>
    <t>ET</t>
  </si>
  <si>
    <t>Discipline (4.8)</t>
  </si>
  <si>
    <t>Specs (4.5)</t>
  </si>
  <si>
    <t>Lilly Spec No.</t>
  </si>
  <si>
    <t>Other (4.6)</t>
  </si>
  <si>
    <t>Doc Code (Att 2, 3, 4)</t>
  </si>
  <si>
    <t>Sequence</t>
  </si>
  <si>
    <t>Drawings [Non-PID, Non-AFID, Non-ISO] (4.1)</t>
  </si>
  <si>
    <t>4.1 Drawings (Non-P&amp;ID/Non-AF&amp;ID/Piping ISO)</t>
  </si>
  <si>
    <t>4.2 P&amp;IDs and AF&amp;IDs</t>
  </si>
  <si>
    <t>4.4 EHT Isometrics</t>
  </si>
  <si>
    <t>4.6 All Other Documents</t>
  </si>
  <si>
    <r>
      <t>Piping General Arrangement [</t>
    </r>
    <r>
      <rPr>
        <b/>
        <sz val="11"/>
        <color rgb="FFC00000"/>
        <rFont val="Aptos Narrow"/>
        <family val="2"/>
        <scheme val="minor"/>
      </rPr>
      <t>multiple document number</t>
    </r>
    <r>
      <rPr>
        <sz val="11"/>
        <color theme="1"/>
        <rFont val="Aptos Narrow"/>
        <family val="2"/>
        <scheme val="minor"/>
      </rPr>
      <t>]</t>
    </r>
  </si>
  <si>
    <r>
      <t>Piping Isometric [</t>
    </r>
    <r>
      <rPr>
        <b/>
        <sz val="11"/>
        <color rgb="FFC00000"/>
        <rFont val="Aptos Narrow"/>
        <family val="2"/>
        <scheme val="minor"/>
      </rPr>
      <t>multiple document numbe</t>
    </r>
    <r>
      <rPr>
        <sz val="11"/>
        <color theme="4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>]</t>
    </r>
  </si>
  <si>
    <t>DI - P&amp;ID</t>
  </si>
  <si>
    <t>MI - AF&amp;ID</t>
  </si>
  <si>
    <t>1. Do any of the drawings above qualify as AF&amp;ID drawings? If so, will need to add formatting for those.</t>
  </si>
  <si>
    <t>Plans/General</t>
  </si>
  <si>
    <t>000 - 499</t>
  </si>
  <si>
    <t>Elevations</t>
  </si>
  <si>
    <t>500 - 599</t>
  </si>
  <si>
    <t>Other</t>
  </si>
  <si>
    <t>600 - 799</t>
  </si>
  <si>
    <t>Schedules</t>
  </si>
  <si>
    <t>800 - 899</t>
  </si>
  <si>
    <t>Details, Sections</t>
  </si>
  <si>
    <t>900 - 999</t>
  </si>
  <si>
    <t>Drawing Type</t>
  </si>
  <si>
    <t>Sheet Number Rang</t>
  </si>
  <si>
    <t>000 - 499 (Plans/General)</t>
  </si>
  <si>
    <t>900 - 999 (Details, Sections)</t>
  </si>
  <si>
    <t>500 - 599 (Elevations)</t>
  </si>
  <si>
    <t>000-099 (Distribution Headers)</t>
  </si>
  <si>
    <t>100 - Project Management</t>
  </si>
  <si>
    <t>200 - Engineering Management</t>
  </si>
  <si>
    <t>255 - Mechanical Engineering</t>
  </si>
  <si>
    <t>250 - Piping Engineering</t>
  </si>
  <si>
    <t>215 - Structural Engineering</t>
  </si>
  <si>
    <t>265 - Electrical</t>
  </si>
  <si>
    <t>270 - Control Systems</t>
  </si>
  <si>
    <t>100-AQP-001</t>
  </si>
  <si>
    <t>100-ASL-001</t>
  </si>
  <si>
    <t>100-BID-001</t>
  </si>
  <si>
    <t>100-CFN-001</t>
  </si>
  <si>
    <t>100-COR-001</t>
  </si>
  <si>
    <t>CORRESPONDENCE - EXTERNAL</t>
  </si>
  <si>
    <t>100-DBK-001</t>
  </si>
  <si>
    <t>100-DCN-001</t>
  </si>
  <si>
    <t>100-DDM-001</t>
  </si>
  <si>
    <t>100-DEV-001</t>
  </si>
  <si>
    <t>100-DIS-001</t>
  </si>
  <si>
    <t>100-FAX-001</t>
  </si>
  <si>
    <t>100-GEN-001</t>
  </si>
  <si>
    <t>100-IAG-001</t>
  </si>
  <si>
    <t>INTERFACE  AGREEMENT</t>
  </si>
  <si>
    <t>100-IOC-001</t>
  </si>
  <si>
    <t>100-JOB-001</t>
  </si>
  <si>
    <t>100-LST-001</t>
  </si>
  <si>
    <t>LIST - LOG - REGISTER</t>
  </si>
  <si>
    <t>100-LTR-001</t>
  </si>
  <si>
    <t>100-MOM-001</t>
  </si>
  <si>
    <t>100-MPR-001</t>
  </si>
  <si>
    <t>100-NDA-001</t>
  </si>
  <si>
    <t>NON-DISCLOSURE ACKNOWLEDGEMENT</t>
  </si>
  <si>
    <t>100-ORG-001</t>
  </si>
  <si>
    <t>100-OVR-001</t>
  </si>
  <si>
    <t>100-PAF-001</t>
  </si>
  <si>
    <t>PERSONNEL AUTHORIZATION  FORM</t>
  </si>
  <si>
    <t>100-PEP-001</t>
  </si>
  <si>
    <t>100-PEX-001</t>
  </si>
  <si>
    <t>100-PPM-001</t>
  </si>
  <si>
    <t>PROJECT PROCEDURE  MANUAL</t>
  </si>
  <si>
    <t>100-PRC-001</t>
  </si>
  <si>
    <t>100-PRO-001</t>
  </si>
  <si>
    <t>100-PTD-001</t>
  </si>
  <si>
    <t>PROJECT TELEPHONE DIRECTORY - LIST</t>
  </si>
  <si>
    <t>100-RFl-001</t>
  </si>
  <si>
    <t>100-RFP-001</t>
  </si>
  <si>
    <t>100-RFQ-001</t>
  </si>
  <si>
    <t>100-RPT-001</t>
  </si>
  <si>
    <t>REPORT - STUDY</t>
  </si>
  <si>
    <t>100-RSM-001</t>
  </si>
  <si>
    <t>100-SLA-001</t>
  </si>
  <si>
    <t>sow</t>
  </si>
  <si>
    <t>100-SOW-001</t>
  </si>
  <si>
    <t>100-SWA-001</t>
  </si>
  <si>
    <t>100-TEQ-001</t>
  </si>
  <si>
    <t>100-TOC-001</t>
  </si>
  <si>
    <t>100-TRA-001</t>
  </si>
  <si>
    <t>100-TRN-001</t>
  </si>
  <si>
    <t>100-TRR-001</t>
  </si>
  <si>
    <t>100-TXP-001</t>
  </si>
  <si>
    <t>100-VIP-001</t>
  </si>
  <si>
    <t>VALUE IMPROVING  PRACTICE</t>
  </si>
  <si>
    <t>100-WSR-001</t>
  </si>
  <si>
    <t>500-CWP-001</t>
  </si>
  <si>
    <t>CONSTRUCTION  WORK PACKAGE</t>
  </si>
  <si>
    <t>500-DWG-001</t>
  </si>
  <si>
    <t>500-EXE-001</t>
  </si>
  <si>
    <t>CONSTRUCTION  SCOPE OF WORK</t>
  </si>
  <si>
    <t>500-EXE-002</t>
  </si>
  <si>
    <t>CONSTRUCTION  EXECUTION PLAN</t>
  </si>
  <si>
    <t>500-EXE-003</t>
  </si>
  <si>
    <t>500-FCN-001</t>
  </si>
  <si>
    <t>500-ITP-001</t>
  </si>
  <si>
    <t>500-IWP-001</t>
  </si>
  <si>
    <t>INSTALLATION  WORK PACKAGE-ARCHITECTURAL</t>
  </si>
  <si>
    <t>500-IWP-002</t>
  </si>
  <si>
    <r>
      <t xml:space="preserve">INSTALLATION  WORK PACKAGE </t>
    </r>
    <r>
      <rPr>
        <sz val="8"/>
        <color indexed="63"/>
        <rFont val="Arial"/>
        <family val="2"/>
      </rPr>
      <t xml:space="preserve">- </t>
    </r>
    <r>
      <rPr>
        <sz val="8"/>
        <color indexed="8"/>
        <rFont val="Arial"/>
        <family val="2"/>
      </rPr>
      <t>CONCRETE FOUNDATIONS</t>
    </r>
  </si>
  <si>
    <t>500-IWP-003</t>
  </si>
  <si>
    <r>
      <t xml:space="preserve">INSTALLATION  WORK PACKAGE </t>
    </r>
    <r>
      <rPr>
        <sz val="8"/>
        <color indexed="63"/>
        <rFont val="Arial"/>
        <family val="2"/>
      </rPr>
      <t xml:space="preserve">- </t>
    </r>
    <r>
      <rPr>
        <sz val="8"/>
        <color indexed="8"/>
        <rFont val="Arial"/>
        <family val="2"/>
      </rPr>
      <t>ELECTRICAL</t>
    </r>
  </si>
  <si>
    <t>500-IWP-004</t>
  </si>
  <si>
    <t>INSTALLATION  WORK PACKAGE- FIREPROOFING</t>
  </si>
  <si>
    <t>500-IWP-005</t>
  </si>
  <si>
    <t>INSTALLATION  WORK PACKAGE- CIVIL</t>
  </si>
  <si>
    <t>500-IWP-006</t>
  </si>
  <si>
    <t>INSTALLATION  WORK PACKAGE-AUTOMATION HARDWARE</t>
  </si>
  <si>
    <t>500-IWP-007</t>
  </si>
  <si>
    <t>INSTALLATION  WORK PACKAGE- CONTROL SYSTEMS</t>
  </si>
  <si>
    <t>500-IWP-008</t>
  </si>
  <si>
    <r>
      <t xml:space="preserve">INSTALLATION  WORK PACKAGE </t>
    </r>
    <r>
      <rPr>
        <sz val="8"/>
        <color indexed="63"/>
        <rFont val="Arial"/>
        <family val="2"/>
      </rPr>
      <t xml:space="preserve">- </t>
    </r>
    <r>
      <rPr>
        <sz val="8"/>
        <color indexed="8"/>
        <rFont val="Arial"/>
        <family val="2"/>
      </rPr>
      <t>PILING</t>
    </r>
  </si>
  <si>
    <t>500-IWP-009</t>
  </si>
  <si>
    <t>INSTALLATION  WORK PACKAGE- MECHANICAL EQUIPMENT</t>
  </si>
  <si>
    <t>500-IWP-010</t>
  </si>
  <si>
    <t>INSTALLATION  WORK PACKAGE- HVAC</t>
  </si>
  <si>
    <t>500-IWP-011</t>
  </si>
  <si>
    <t>INSTALLATION  WORK PACKAGE- PIPING</t>
  </si>
  <si>
    <t>500-IWP-012</t>
  </si>
  <si>
    <t>INSTALLATION  WORK PACKAGE- INSULATION</t>
  </si>
  <si>
    <t>500-IWP-013</t>
  </si>
  <si>
    <r>
      <t xml:space="preserve">INSTALLATION  WORK PACKAGE </t>
    </r>
    <r>
      <rPr>
        <sz val="8"/>
        <color indexed="63"/>
        <rFont val="Arial"/>
        <family val="2"/>
      </rPr>
      <t xml:space="preserve">- </t>
    </r>
    <r>
      <rPr>
        <sz val="8"/>
        <color indexed="8"/>
        <rFont val="Arial"/>
        <family val="2"/>
      </rPr>
      <t>STRUCTURAL STEEL</t>
    </r>
  </si>
  <si>
    <t>500-IWP-014</t>
  </si>
  <si>
    <r>
      <t xml:space="preserve">INSTALLATION  WORK PACKAGE </t>
    </r>
    <r>
      <rPr>
        <sz val="8"/>
        <color indexed="63"/>
        <rFont val="Arial"/>
        <family val="2"/>
      </rPr>
      <t xml:space="preserve">- </t>
    </r>
    <r>
      <rPr>
        <sz val="8"/>
        <color indexed="8"/>
        <rFont val="Arial"/>
        <family val="2"/>
      </rPr>
      <t>ELECTRICAL HEAT TRACING</t>
    </r>
  </si>
  <si>
    <t>500-IWP-015</t>
  </si>
  <si>
    <r>
      <t xml:space="preserve">INSTALLATION  WORK PACKAGE </t>
    </r>
    <r>
      <rPr>
        <sz val="8"/>
        <color indexed="63"/>
        <rFont val="Arial"/>
        <family val="2"/>
      </rPr>
      <t xml:space="preserve">- </t>
    </r>
    <r>
      <rPr>
        <sz val="8"/>
        <color indexed="8"/>
        <rFont val="Arial"/>
        <family val="2"/>
      </rPr>
      <t>VESSEL LADDERS AND PLATFORMS</t>
    </r>
  </si>
  <si>
    <t>500-JSA-001</t>
  </si>
  <si>
    <t>500-RDL-001</t>
  </si>
  <si>
    <t>500-RPT-001</t>
  </si>
  <si>
    <t>CONSTRUCTION  SAFETY REPORT</t>
  </si>
  <si>
    <t>500-SKT-001</t>
  </si>
  <si>
    <t>500-TVR-001</t>
  </si>
  <si>
    <t>200-MDR-001 (PROJECT MASTER DOCUMENT REGISTER)</t>
  </si>
  <si>
    <t>042</t>
  </si>
  <si>
    <t>Quality Assurance</t>
  </si>
  <si>
    <t>POR</t>
  </si>
  <si>
    <t>Saeed Sabah</t>
  </si>
  <si>
    <t>Michael Walther</t>
  </si>
  <si>
    <t>Samuel Steiner</t>
  </si>
  <si>
    <t>Austin Thompson</t>
  </si>
  <si>
    <t>Johan Nguyen</t>
  </si>
  <si>
    <t>David Johanson</t>
  </si>
  <si>
    <t>100-AQP-001 (ACTIVITY QUALITY PLAN)</t>
  </si>
  <si>
    <t>200-LST-001 (LIST)</t>
  </si>
  <si>
    <t>200-RPT-001 (REPORT)</t>
  </si>
  <si>
    <t>255-LST-001 (LIST)</t>
  </si>
  <si>
    <t>255-DST-001 (DATASHEET)</t>
  </si>
  <si>
    <t>255-PRO-001 (PROCUREMENT)</t>
  </si>
  <si>
    <t>265-CPR-001 (CONSTRUCTION POWER)</t>
  </si>
  <si>
    <t>265-DIA-001 (DIAGRAM)</t>
  </si>
  <si>
    <t>265-MTO-001 (MATERIAL TAKE OFF)</t>
  </si>
  <si>
    <t>265-LST-001 (LISTS)</t>
  </si>
  <si>
    <t>270-LST-001 (LIST)</t>
  </si>
  <si>
    <t>270-LAY-001 (LAYOUT)</t>
  </si>
  <si>
    <t>270-MTO-001 (MATERIAL TAKE OFF)</t>
  </si>
  <si>
    <t>250-TIE-001 (TIE-IN)</t>
  </si>
  <si>
    <t>4.3 Piping Isometrics</t>
  </si>
  <si>
    <t>215-CAL-001 (CALCULATION)</t>
  </si>
  <si>
    <t>215-MTO-001 (MATERIAL TAKE OFF)</t>
  </si>
  <si>
    <t>Overall Lighting Plan  in the Unloading Rack Area</t>
  </si>
  <si>
    <t>Enlarged Lighting Plan 1 of 2 in the Unloading Rack Area</t>
  </si>
  <si>
    <t>Enlarged Lighting Plan 2 of 2 in the Unloading Rack Area</t>
  </si>
  <si>
    <t>Overall Photometrics Plan in the Unloading Rack Area</t>
  </si>
  <si>
    <t>Enlarged Photometrics Plan 1 of 2 in the Unloading Rack Area</t>
  </si>
  <si>
    <t>Enlarged Photometrics Plan 2 of 2 in the Unloading Rack Area</t>
  </si>
  <si>
    <t>P - Partial plan within a sector</t>
  </si>
  <si>
    <t>EL - Electrical Lighting (Exterior Lighting)</t>
  </si>
  <si>
    <t>EP - Electrical Power (Exterior)</t>
  </si>
  <si>
    <t>A - Upper Left</t>
  </si>
  <si>
    <t>B - Upper Right</t>
  </si>
  <si>
    <t>C - Lower Left</t>
  </si>
  <si>
    <t>D - Lower Right</t>
  </si>
  <si>
    <t>600 - 799 (Other)</t>
  </si>
  <si>
    <t>Electrical Grounding Enlarged Plan 1 of 4</t>
  </si>
  <si>
    <t xml:space="preserve">Electrical Grounding Site Overall Plan </t>
  </si>
  <si>
    <t>Electrical Grounding Enlarged Plan 2of 4</t>
  </si>
  <si>
    <t>Electrical Grounding Enlarged Plan 3 of 4</t>
  </si>
  <si>
    <t>Electrical Grounding Enlarged Plan 4 of 4</t>
  </si>
  <si>
    <t>Electrical Grounding System Schematics</t>
  </si>
  <si>
    <t>Electrical Grounding Details 1</t>
  </si>
  <si>
    <t>Electrical Grounding Details 2</t>
  </si>
  <si>
    <t>Electrical Cable Schedule</t>
  </si>
  <si>
    <t xml:space="preserve">Electrical Cable &amp; Cable Tray Site Overall Plan </t>
  </si>
  <si>
    <t>Electrical Cable &amp; Cable Tray Enlarged Plan 1 of 4</t>
  </si>
  <si>
    <t>Electrical Cable &amp; Cable Tray Enlarged Plan 2 of 4</t>
  </si>
  <si>
    <t>Electrical Cable &amp; Cable Tray Enlarged Plan 3 of 4</t>
  </si>
  <si>
    <t>Electrical Cable &amp; Cable Tray Enlarged Plan 4 of 4</t>
  </si>
  <si>
    <t>Electrical Cable &amp; Cable Tray Schedule/Schematic</t>
  </si>
  <si>
    <t>Electrical Cable and Cable Tray Details 1</t>
  </si>
  <si>
    <t>Electrical Cable and Cable Tray Details 2</t>
  </si>
  <si>
    <t xml:space="preserve">Electrical Equipment Site Overall Plan </t>
  </si>
  <si>
    <t>Electrical Equipment Enlarged Plan 1 of 4</t>
  </si>
  <si>
    <t>Electrical Equipment Enlarged Plan 2 of 4</t>
  </si>
  <si>
    <t>Electrical Equipment Enlarged Plan 3 of 4</t>
  </si>
  <si>
    <t>Electrical Equipment Enlarged Plan 4 of 4</t>
  </si>
  <si>
    <t>Electrical Equipment Schedule List</t>
  </si>
  <si>
    <t>Electrical Equipment Details 1</t>
  </si>
  <si>
    <t>Electrical Equipment Details 2</t>
  </si>
  <si>
    <t>Ins. Panel CHARM Delta-V Layout</t>
  </si>
  <si>
    <t>Ins. Fire Alarm System JB Layout</t>
  </si>
  <si>
    <t>Instrument Location Plan [Platform Level)]</t>
  </si>
  <si>
    <t>Instrument Location Plan [Ground Level)]</t>
  </si>
  <si>
    <t>Instrument Wiring Diagram - Isolation Valve FV-610VA</t>
  </si>
  <si>
    <t>Instrument Wiring Diagram - Isolation Valve FV-610VB</t>
  </si>
  <si>
    <t>Instrument Wiring Diagram - Isolation Valve FV-610WPA</t>
  </si>
  <si>
    <t>Instrument Wiring Diagram - Isolation Valve FV-610WPB</t>
  </si>
  <si>
    <t>Instrument Wiring Diagram - Isolation Valve FV-622N1</t>
  </si>
  <si>
    <t>Instrument Wiring Diagram - Isolation Valve FV-632N1</t>
  </si>
  <si>
    <t>Instrument Wiring Diagram - Flow Switch FSL-0630V</t>
  </si>
  <si>
    <t>Instrument Wiring Diagram - Flow Switch FSL-0631A</t>
  </si>
  <si>
    <t>Instrument Wiring Diagram - Flow Switch FSL-0640V</t>
  </si>
  <si>
    <t>Instrument Wiring Diagram - Flow Switch FSL-0650V</t>
  </si>
  <si>
    <t>Instrument Wiring Diagram - Level Switch LSH-0640WP</t>
  </si>
  <si>
    <t>Instrument Wiring Diagram - Level Switch LSH-0650WP</t>
  </si>
  <si>
    <t>Instrument Wiring Diagram - Pressure Transmitter PT-0610WP</t>
  </si>
  <si>
    <t>Instrument Wiring Diagram - Pressure Transmitter PT-0623A</t>
  </si>
  <si>
    <t>Instrument Wiring Diagram - Pressure Transmitter PT-0630V</t>
  </si>
  <si>
    <t>Instrument Wiring Diagram - Pressure Transmitter PT-0631A</t>
  </si>
  <si>
    <t>Instrument Wiring Diagram - Pressure Transmitter PT-0633A</t>
  </si>
  <si>
    <t>Instrument Wiring Diagram - Pressure Transmitter PT-0640V</t>
  </si>
  <si>
    <t>Instrument Wiring Diagram - Pressure Transmitter PT-0650V</t>
  </si>
  <si>
    <t>Instrument Wiring Diagram - Safety Shower EW-15-0621-01</t>
  </si>
  <si>
    <t>Instrument Wiring Diagram - Safety Shower EW-15-0621-02</t>
  </si>
  <si>
    <t>Ins. Power Panel  (IPP) Layout</t>
  </si>
  <si>
    <t>Instrument Installation Details (Multi-sheets)</t>
  </si>
  <si>
    <t>Instrument Wiring Diagram - ESD Handswitch HS-0010SK</t>
  </si>
  <si>
    <t>Instrument Wiring Diagram - ESD Handswitch HS-0010SL</t>
  </si>
  <si>
    <t>Instrument Wiring Diagram - Rupture Disk PSE/PSA-0610WP</t>
  </si>
  <si>
    <t>Instrument Wiring Diagram - Rupture Disk PSE/PSA-0623A</t>
  </si>
  <si>
    <t>Instrument Wiring Diagram - Rupture Disk PSE/PSA-0631A</t>
  </si>
  <si>
    <t>Instrument Wiring Diagram - Rupture Disk PSE/PSA-033A</t>
  </si>
  <si>
    <t>275-DIA-001 (DIAGRAM)</t>
  </si>
  <si>
    <t>MI - Mechanical (Instrumentation)</t>
  </si>
  <si>
    <t>Ins. Discrete JB Layout - Rail Station 1</t>
  </si>
  <si>
    <t>Ins. Discrete JB Layout - Rail Station 2</t>
  </si>
  <si>
    <t>Ins. Discrete JB Layout - Rail Station 3</t>
  </si>
  <si>
    <t>Ins. Discrete JB Layout - Rail Station 4</t>
  </si>
  <si>
    <t>Instrument Wiring Diagram - Flow Switch LSL-0623A</t>
  </si>
  <si>
    <t>Instrument Wiring Diagram - Flow Switch LSL-0631A</t>
  </si>
  <si>
    <t>Instrument Wiring Diagram - Flow Switch FSL-0632N1</t>
  </si>
  <si>
    <t>Instrument Wiring Diagram - Flow Switch LSL-0633A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</si>
</sst>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Times New Roman"/>
      <family val="1"/>
      <charset val="204"/>
    </font>
    <font>
      <sz val="10"/>
      <name val="Arial"/>
      <family val="2"/>
    </font>
    <font>
      <sz val="11"/>
      <color theme="4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5"/>
      <color indexed="8"/>
      <name val="Calibri"/>
      <family val="1"/>
      <charset val="204"/>
    </font>
    <font>
      <b/>
      <u/>
      <sz val="5"/>
      <color indexed="8"/>
      <name val="Calibri"/>
      <family val="1"/>
      <charset val="204"/>
    </font>
    <font>
      <sz val="5"/>
      <color indexed="8"/>
      <name val="Calibri"/>
      <family val="1"/>
      <charset val="204"/>
    </font>
    <font>
      <strike/>
      <sz val="5"/>
      <color indexed="8"/>
      <name val="Calibri"/>
      <family val="1"/>
      <charset val="204"/>
    </font>
    <font>
      <b/>
      <sz val="11"/>
      <color rgb="FFC00000"/>
      <name val="Aptos Narrow"/>
      <family val="2"/>
      <scheme val="minor"/>
    </font>
    <font>
      <sz val="8"/>
      <color indexed="8"/>
      <name val="Arial"/>
      <family val="2"/>
    </font>
    <font>
      <sz val="8"/>
      <color indexed="63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Font="0" applyFill="0" applyBorder="0" applyAlignment="0" applyProtection="0"/>
    <xf numFmtId="0" fontId="4" fillId="0" borderId="0"/>
  </cellStyleXfs>
  <cellXfs count="26">
    <xf numFmtId="0" fontId="0" fillId="0" borderId="0" xfId="0"/>
    <xf numFmtId="0" fontId="0" fillId="0" borderId="0" xfId="0" quotePrefix="1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0" fillId="9" borderId="0" xfId="0" applyFill="1"/>
    <xf numFmtId="0" fontId="0" fillId="9" borderId="0" xfId="0" quotePrefix="1" applyFill="1"/>
    <xf numFmtId="0" fontId="15" fillId="0" borderId="0" xfId="0" applyFont="1"/>
    <xf numFmtId="0" fontId="0" fillId="10" borderId="0" xfId="0" applyFill="1"/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1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11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</cellXfs>
  <cellStyles count="3">
    <cellStyle name="Euro" xfId="1" xr:uid="{ABEB2A19-B7EF-4894-A725-AFF4660C8A18}"/>
    <cellStyle name="Normal" xfId="0" builtinId="0"/>
    <cellStyle name="Normal 3" xfId="2" xr:uid="{BAC2E661-BFF4-487C-8324-2821FF0A52A6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 Trice" id="{93228514-83BA-4A51-91D2-A11DE8EA34F0}" userId="76ebcd9ef643772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5-09-25T14:07:35.91" personId="{93228514-83BA-4A51-91D2-A11DE8EA34F0}" id="{D4557D52-E7D8-4D0A-B4E8-65A1A3D2966D}">
    <text>Provided by Lilly</text>
  </threadedComment>
  <threadedComment ref="W5" dT="2025-09-25T14:07:22.10" personId="{93228514-83BA-4A51-91D2-A11DE8EA34F0}" id="{1FB74A6A-8926-4522-952D-08D62DBA52CF}">
    <text>Provided by Lilly</text>
  </threadedComment>
  <threadedComment ref="R7" dT="2025-09-25T13:37:26.70" personId="{93228514-83BA-4A51-91D2-A11DE8EA34F0}" id="{238E6D2F-24FE-475E-A58D-CFB3260AE045}">
    <text>See LP100-DI-00000002, P&amp;ID Lead Sheet 2</text>
  </threadedComment>
  <threadedComment ref="B39" dT="2025-09-24T19:32:50.86" personId="{93228514-83BA-4A51-91D2-A11DE8EA34F0}" id="{EF50B128-188B-43B3-92B2-A9386D47C99A}">
    <text xml:space="preserve">Not a drawing
</text>
  </threadedComment>
  <threadedComment ref="B40" dT="2025-09-24T19:32:57.14" personId="{93228514-83BA-4A51-91D2-A11DE8EA34F0}" id="{9A4116F2-40F6-4AAD-9AA7-3949CFC784A5}">
    <text>Not a drawing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1177-6E26-4AFF-9242-3F7B796AEB9D}">
  <sheetPr filterMode="1"/>
  <dimension ref="A1:Z126"/>
  <sheetViews>
    <sheetView tabSelected="1" zoomScale="80" zoomScaleNormal="80" workbookViewId="0">
      <pane xSplit="5" ySplit="7" topLeftCell="F77" activePane="bottomRight" state="frozen"/>
      <selection pane="topRight" activeCell="E1" sqref="E1"/>
      <selection pane="bottomLeft" activeCell="A8" sqref="A8"/>
      <selection pane="bottomRight" activeCell="F86" sqref="F86"/>
    </sheetView>
  </sheetViews>
  <sheetFormatPr defaultRowHeight="14.5" x14ac:dyDescent="0.35"/>
  <cols>
    <col min="1" max="1" width="20" customWidth="1"/>
    <col min="2" max="2" width="55.26953125" customWidth="1"/>
    <col min="3" max="3" width="27.7265625" customWidth="1"/>
    <col min="4" max="4" width="45.1796875" customWidth="1"/>
    <col min="5" max="5" width="11.54296875" bestFit="1" customWidth="1"/>
    <col min="6" max="6" width="32.81640625" customWidth="1"/>
    <col min="7" max="7" width="44" bestFit="1" customWidth="1"/>
    <col min="8" max="8" width="22.453125" bestFit="1" customWidth="1"/>
    <col min="9" max="10" width="22.54296875" bestFit="1" customWidth="1"/>
    <col min="11" max="11" width="23.81640625" bestFit="1" customWidth="1"/>
    <col min="12" max="12" width="30.26953125" bestFit="1" customWidth="1"/>
    <col min="13" max="13" width="28.54296875" bestFit="1" customWidth="1"/>
    <col min="14" max="14" width="26" bestFit="1" customWidth="1"/>
    <col min="15" max="15" width="21.1796875" bestFit="1" customWidth="1"/>
    <col min="16" max="16" width="21" bestFit="1" customWidth="1"/>
    <col min="17" max="17" width="50.26953125" bestFit="1" customWidth="1"/>
    <col min="18" max="18" width="20.26953125" bestFit="1" customWidth="1"/>
    <col min="19" max="19" width="20.26953125" customWidth="1"/>
    <col min="20" max="20" width="32" bestFit="1" customWidth="1"/>
    <col min="21" max="21" width="26.81640625" bestFit="1" customWidth="1"/>
    <col min="22" max="22" width="21.1796875" bestFit="1" customWidth="1"/>
    <col min="23" max="23" width="24.26953125" customWidth="1"/>
    <col min="24" max="24" width="13.81640625" customWidth="1"/>
    <col min="25" max="25" width="47.453125" customWidth="1"/>
    <col min="26" max="26" width="16.7265625" bestFit="1" customWidth="1"/>
  </cols>
  <sheetData>
    <row r="1" spans="1:26" x14ac:dyDescent="0.35">
      <c r="A1" s="22"/>
      <c r="B1" s="22"/>
      <c r="C1" s="22"/>
      <c r="D1" s="22"/>
      <c r="E1" s="22"/>
      <c r="F1" s="21" t="s">
        <v>1117</v>
      </c>
      <c r="G1" s="21"/>
      <c r="H1" s="21"/>
      <c r="I1" s="21"/>
      <c r="J1" s="21"/>
      <c r="K1" s="21"/>
      <c r="L1" s="21"/>
      <c r="M1" s="21"/>
    </row>
    <row r="2" spans="1:26" s="7" customFormat="1" x14ac:dyDescent="0.35">
      <c r="F2" s="8" t="s">
        <v>1103</v>
      </c>
      <c r="N2" s="23" t="s">
        <v>1103</v>
      </c>
      <c r="O2" s="23"/>
      <c r="P2" s="23"/>
      <c r="Q2" s="23"/>
    </row>
    <row r="3" spans="1:26" s="7" customFormat="1" x14ac:dyDescent="0.35">
      <c r="F3" s="10" t="s">
        <v>1107</v>
      </c>
      <c r="N3" s="9"/>
      <c r="O3" s="9"/>
      <c r="P3" s="9"/>
      <c r="Q3" s="9"/>
      <c r="R3" s="10" t="s">
        <v>1107</v>
      </c>
      <c r="T3" s="24" t="s">
        <v>1107</v>
      </c>
      <c r="U3" s="24"/>
      <c r="V3" s="24"/>
    </row>
    <row r="4" spans="1:26" s="7" customFormat="1" x14ac:dyDescent="0.35">
      <c r="F4" s="11" t="s">
        <v>1108</v>
      </c>
      <c r="R4" s="25" t="s">
        <v>1108</v>
      </c>
      <c r="S4" s="25"/>
      <c r="T4" s="25"/>
      <c r="U4" s="25"/>
      <c r="V4" s="25"/>
    </row>
    <row r="5" spans="1:26" s="7" customFormat="1" x14ac:dyDescent="0.35">
      <c r="F5" s="12" t="s">
        <v>1112</v>
      </c>
      <c r="R5" s="9"/>
      <c r="S5" s="9"/>
      <c r="T5" s="9"/>
      <c r="U5" s="9"/>
      <c r="V5" s="9"/>
      <c r="W5" s="18" t="s">
        <v>1112</v>
      </c>
      <c r="X5" s="18"/>
    </row>
    <row r="6" spans="1:26" s="7" customFormat="1" x14ac:dyDescent="0.35">
      <c r="F6" s="13" t="s">
        <v>1114</v>
      </c>
      <c r="R6" s="9"/>
      <c r="S6" s="9"/>
      <c r="T6" s="9"/>
      <c r="U6" s="9"/>
      <c r="V6" s="9"/>
      <c r="W6" s="13" t="s">
        <v>1114</v>
      </c>
      <c r="X6" s="9"/>
      <c r="Y6" s="19" t="s">
        <v>1114</v>
      </c>
      <c r="Z6" s="19"/>
    </row>
    <row r="7" spans="1:26" s="2" customFormat="1" x14ac:dyDescent="0.35">
      <c r="A7" s="2" t="s">
        <v>99</v>
      </c>
      <c r="B7" s="2" t="s">
        <v>93</v>
      </c>
      <c r="C7" s="2" t="s">
        <v>1254</v>
      </c>
      <c r="D7" s="2" t="s">
        <v>145</v>
      </c>
      <c r="E7" s="2" t="s">
        <v>146</v>
      </c>
      <c r="F7" s="2" t="s">
        <v>148</v>
      </c>
      <c r="G7" s="2" t="s">
        <v>149</v>
      </c>
      <c r="H7" s="2" t="s">
        <v>150</v>
      </c>
      <c r="I7" s="2" t="s">
        <v>151</v>
      </c>
      <c r="J7" s="2" t="s">
        <v>152</v>
      </c>
      <c r="K7" s="2" t="s">
        <v>153</v>
      </c>
      <c r="L7" s="2" t="s">
        <v>154</v>
      </c>
      <c r="M7" s="2" t="s">
        <v>155</v>
      </c>
      <c r="N7" s="2" t="s">
        <v>192</v>
      </c>
      <c r="O7" s="2" t="s">
        <v>193</v>
      </c>
      <c r="P7" s="4" t="s">
        <v>195</v>
      </c>
      <c r="Q7" s="2" t="s">
        <v>196</v>
      </c>
      <c r="R7" s="2" t="s">
        <v>1104</v>
      </c>
      <c r="S7" s="2" t="s">
        <v>1109</v>
      </c>
      <c r="T7" s="2" t="s">
        <v>1105</v>
      </c>
      <c r="U7" s="2" t="s">
        <v>1106</v>
      </c>
      <c r="V7" s="2" t="s">
        <v>193</v>
      </c>
      <c r="W7" s="2" t="s">
        <v>1111</v>
      </c>
      <c r="X7" s="2" t="s">
        <v>1113</v>
      </c>
      <c r="Y7" s="2" t="s">
        <v>1115</v>
      </c>
      <c r="Z7" s="2" t="s">
        <v>1116</v>
      </c>
    </row>
    <row r="8" spans="1:26" hidden="1" x14ac:dyDescent="0.35">
      <c r="A8" t="s">
        <v>100</v>
      </c>
      <c r="B8" t="s">
        <v>94</v>
      </c>
      <c r="C8" t="s">
        <v>1255</v>
      </c>
      <c r="D8" t="s">
        <v>1121</v>
      </c>
      <c r="E8" t="s">
        <v>147</v>
      </c>
      <c r="F8" t="s">
        <v>90</v>
      </c>
      <c r="P8" s="1" t="s">
        <v>194</v>
      </c>
      <c r="S8" t="s">
        <v>1110</v>
      </c>
      <c r="W8" t="s">
        <v>1144</v>
      </c>
      <c r="Y8" t="s">
        <v>1262</v>
      </c>
    </row>
    <row r="9" spans="1:26" hidden="1" x14ac:dyDescent="0.35">
      <c r="A9" t="s">
        <v>101</v>
      </c>
      <c r="B9" t="s">
        <v>95</v>
      </c>
      <c r="C9" t="s">
        <v>1255</v>
      </c>
      <c r="D9" t="s">
        <v>1121</v>
      </c>
      <c r="E9" t="s">
        <v>147</v>
      </c>
      <c r="F9" t="s">
        <v>90</v>
      </c>
      <c r="P9" s="1" t="s">
        <v>194</v>
      </c>
      <c r="S9" t="s">
        <v>1110</v>
      </c>
      <c r="W9" t="s">
        <v>1144</v>
      </c>
      <c r="Y9" t="s">
        <v>1251</v>
      </c>
    </row>
    <row r="10" spans="1:26" hidden="1" x14ac:dyDescent="0.35">
      <c r="A10" t="s">
        <v>101</v>
      </c>
      <c r="B10" t="s">
        <v>96</v>
      </c>
      <c r="C10" t="s">
        <v>1255</v>
      </c>
      <c r="D10" t="s">
        <v>1121</v>
      </c>
      <c r="E10" t="s">
        <v>147</v>
      </c>
      <c r="F10" t="s">
        <v>90</v>
      </c>
      <c r="P10" s="1" t="s">
        <v>194</v>
      </c>
      <c r="S10" t="s">
        <v>1110</v>
      </c>
      <c r="W10" t="s">
        <v>1143</v>
      </c>
      <c r="Y10" t="s">
        <v>1261</v>
      </c>
    </row>
    <row r="11" spans="1:26" hidden="1" x14ac:dyDescent="0.35">
      <c r="A11" t="s">
        <v>101</v>
      </c>
      <c r="B11" t="s">
        <v>97</v>
      </c>
      <c r="C11" t="s">
        <v>1255</v>
      </c>
      <c r="D11" t="s">
        <v>1118</v>
      </c>
      <c r="E11" t="s">
        <v>147</v>
      </c>
      <c r="F11" t="s">
        <v>90</v>
      </c>
      <c r="H11" t="s">
        <v>232</v>
      </c>
      <c r="I11" t="s">
        <v>233</v>
      </c>
      <c r="J11" t="s">
        <v>233</v>
      </c>
      <c r="K11">
        <v>0</v>
      </c>
      <c r="L11" t="s">
        <v>234</v>
      </c>
      <c r="M11" s="1"/>
      <c r="P11" s="1" t="s">
        <v>194</v>
      </c>
      <c r="S11" t="s">
        <v>1110</v>
      </c>
    </row>
    <row r="12" spans="1:26" hidden="1" x14ac:dyDescent="0.35">
      <c r="A12" t="s">
        <v>101</v>
      </c>
      <c r="B12" t="s">
        <v>98</v>
      </c>
      <c r="C12" t="s">
        <v>1255</v>
      </c>
      <c r="D12" t="s">
        <v>1121</v>
      </c>
      <c r="E12" t="s">
        <v>147</v>
      </c>
      <c r="F12" t="s">
        <v>90</v>
      </c>
      <c r="P12" s="1" t="s">
        <v>194</v>
      </c>
      <c r="S12" t="s">
        <v>1110</v>
      </c>
      <c r="W12" t="s">
        <v>1144</v>
      </c>
      <c r="Y12" t="s">
        <v>1263</v>
      </c>
    </row>
    <row r="13" spans="1:26" hidden="1" x14ac:dyDescent="0.35">
      <c r="A13" t="s">
        <v>102</v>
      </c>
      <c r="B13" t="s">
        <v>103</v>
      </c>
      <c r="C13" t="s">
        <v>1256</v>
      </c>
      <c r="D13" t="s">
        <v>1121</v>
      </c>
      <c r="E13" t="s">
        <v>147</v>
      </c>
      <c r="F13" t="s">
        <v>90</v>
      </c>
      <c r="P13" s="1" t="s">
        <v>194</v>
      </c>
      <c r="S13" t="s">
        <v>1110</v>
      </c>
      <c r="W13" t="s">
        <v>1145</v>
      </c>
      <c r="Y13" t="s">
        <v>1264</v>
      </c>
    </row>
    <row r="14" spans="1:26" hidden="1" x14ac:dyDescent="0.35">
      <c r="A14" t="s">
        <v>102</v>
      </c>
      <c r="B14" t="s">
        <v>104</v>
      </c>
      <c r="C14" t="s">
        <v>1256</v>
      </c>
      <c r="D14" t="s">
        <v>1121</v>
      </c>
      <c r="E14" t="s">
        <v>147</v>
      </c>
      <c r="F14" t="s">
        <v>90</v>
      </c>
      <c r="P14" s="1" t="s">
        <v>194</v>
      </c>
      <c r="S14" t="s">
        <v>1110</v>
      </c>
      <c r="W14" t="s">
        <v>1145</v>
      </c>
      <c r="Y14" t="s">
        <v>1265</v>
      </c>
    </row>
    <row r="15" spans="1:26" hidden="1" x14ac:dyDescent="0.35">
      <c r="A15" t="s">
        <v>102</v>
      </c>
      <c r="B15" t="s">
        <v>105</v>
      </c>
      <c r="C15" t="s">
        <v>1256</v>
      </c>
      <c r="D15" t="s">
        <v>1121</v>
      </c>
      <c r="E15" t="s">
        <v>147</v>
      </c>
      <c r="F15" t="s">
        <v>90</v>
      </c>
      <c r="P15" s="1" t="s">
        <v>194</v>
      </c>
      <c r="S15" t="s">
        <v>1110</v>
      </c>
      <c r="W15" t="s">
        <v>1145</v>
      </c>
      <c r="Y15" t="s">
        <v>1265</v>
      </c>
    </row>
    <row r="16" spans="1:26" hidden="1" x14ac:dyDescent="0.35">
      <c r="A16" t="s">
        <v>102</v>
      </c>
      <c r="B16" t="s">
        <v>106</v>
      </c>
      <c r="C16" t="s">
        <v>1256</v>
      </c>
      <c r="D16" t="s">
        <v>1121</v>
      </c>
      <c r="E16" t="s">
        <v>147</v>
      </c>
      <c r="F16" t="s">
        <v>90</v>
      </c>
      <c r="P16" s="1" t="s">
        <v>194</v>
      </c>
      <c r="S16" t="s">
        <v>1110</v>
      </c>
      <c r="W16" t="s">
        <v>1145</v>
      </c>
      <c r="Y16" t="s">
        <v>1265</v>
      </c>
    </row>
    <row r="17" spans="1:25" hidden="1" x14ac:dyDescent="0.35">
      <c r="A17" t="s">
        <v>102</v>
      </c>
      <c r="B17" t="s">
        <v>107</v>
      </c>
      <c r="C17" t="s">
        <v>1256</v>
      </c>
      <c r="D17" t="s">
        <v>1121</v>
      </c>
      <c r="E17" t="s">
        <v>147</v>
      </c>
      <c r="F17" t="s">
        <v>90</v>
      </c>
      <c r="P17" s="1" t="s">
        <v>194</v>
      </c>
      <c r="S17" t="s">
        <v>1110</v>
      </c>
      <c r="W17" t="s">
        <v>1145</v>
      </c>
      <c r="Y17" t="s">
        <v>1265</v>
      </c>
    </row>
    <row r="18" spans="1:25" hidden="1" x14ac:dyDescent="0.35">
      <c r="A18" t="s">
        <v>102</v>
      </c>
      <c r="B18" t="s">
        <v>108</v>
      </c>
      <c r="C18" t="s">
        <v>1256</v>
      </c>
      <c r="D18" t="s">
        <v>1121</v>
      </c>
      <c r="E18" t="s">
        <v>147</v>
      </c>
      <c r="F18" t="s">
        <v>90</v>
      </c>
      <c r="P18" s="1" t="s">
        <v>194</v>
      </c>
      <c r="S18" t="s">
        <v>1110</v>
      </c>
      <c r="W18" t="s">
        <v>1145</v>
      </c>
      <c r="Y18" t="s">
        <v>1265</v>
      </c>
    </row>
    <row r="19" spans="1:25" hidden="1" x14ac:dyDescent="0.35">
      <c r="A19" t="s">
        <v>102</v>
      </c>
      <c r="B19" t="s">
        <v>109</v>
      </c>
      <c r="C19" t="s">
        <v>1256</v>
      </c>
      <c r="D19" t="s">
        <v>1121</v>
      </c>
      <c r="E19" t="s">
        <v>147</v>
      </c>
      <c r="F19" t="s">
        <v>90</v>
      </c>
      <c r="P19" s="1" t="s">
        <v>194</v>
      </c>
      <c r="S19" t="s">
        <v>1110</v>
      </c>
      <c r="W19" t="s">
        <v>1145</v>
      </c>
      <c r="Y19" t="s">
        <v>1265</v>
      </c>
    </row>
    <row r="20" spans="1:25" hidden="1" x14ac:dyDescent="0.35">
      <c r="A20" t="s">
        <v>102</v>
      </c>
      <c r="B20" t="s">
        <v>110</v>
      </c>
      <c r="C20" t="s">
        <v>1256</v>
      </c>
      <c r="D20" t="s">
        <v>1121</v>
      </c>
      <c r="E20" t="s">
        <v>147</v>
      </c>
      <c r="F20" t="s">
        <v>90</v>
      </c>
      <c r="P20" s="1" t="s">
        <v>194</v>
      </c>
      <c r="S20" t="s">
        <v>1110</v>
      </c>
      <c r="W20" t="s">
        <v>1145</v>
      </c>
      <c r="Y20" t="s">
        <v>1266</v>
      </c>
    </row>
    <row r="21" spans="1:25" hidden="1" x14ac:dyDescent="0.35">
      <c r="A21" t="s">
        <v>102</v>
      </c>
      <c r="B21" t="s">
        <v>111</v>
      </c>
      <c r="C21" t="s">
        <v>1256</v>
      </c>
      <c r="D21" t="s">
        <v>1121</v>
      </c>
      <c r="E21" t="s">
        <v>147</v>
      </c>
      <c r="F21" t="s">
        <v>90</v>
      </c>
      <c r="P21" s="1" t="s">
        <v>194</v>
      </c>
      <c r="S21" t="s">
        <v>1110</v>
      </c>
      <c r="W21" t="s">
        <v>1145</v>
      </c>
      <c r="Y21" t="s">
        <v>1266</v>
      </c>
    </row>
    <row r="22" spans="1:25" hidden="1" x14ac:dyDescent="0.35">
      <c r="A22" t="s">
        <v>102</v>
      </c>
      <c r="B22" t="s">
        <v>112</v>
      </c>
      <c r="C22" t="s">
        <v>1256</v>
      </c>
      <c r="D22" t="s">
        <v>1121</v>
      </c>
      <c r="E22" t="s">
        <v>147</v>
      </c>
      <c r="F22" t="s">
        <v>90</v>
      </c>
      <c r="P22" s="1" t="s">
        <v>194</v>
      </c>
      <c r="S22" t="s">
        <v>1110</v>
      </c>
      <c r="W22" t="s">
        <v>1145</v>
      </c>
      <c r="Y22" t="s">
        <v>1266</v>
      </c>
    </row>
    <row r="23" spans="1:25" hidden="1" x14ac:dyDescent="0.35">
      <c r="A23" t="s">
        <v>102</v>
      </c>
      <c r="B23" t="s">
        <v>113</v>
      </c>
      <c r="C23" t="s">
        <v>1256</v>
      </c>
      <c r="D23" t="s">
        <v>1121</v>
      </c>
      <c r="E23" t="s">
        <v>147</v>
      </c>
      <c r="F23" t="s">
        <v>90</v>
      </c>
      <c r="P23" s="1" t="s">
        <v>194</v>
      </c>
      <c r="S23" t="s">
        <v>1110</v>
      </c>
      <c r="W23" t="s">
        <v>1145</v>
      </c>
      <c r="Y23" t="s">
        <v>1266</v>
      </c>
    </row>
    <row r="24" spans="1:25" hidden="1" x14ac:dyDescent="0.35">
      <c r="A24" t="s">
        <v>102</v>
      </c>
      <c r="B24" t="s">
        <v>114</v>
      </c>
      <c r="C24" t="s">
        <v>1256</v>
      </c>
      <c r="D24" t="s">
        <v>1121</v>
      </c>
      <c r="E24" t="s">
        <v>147</v>
      </c>
      <c r="F24" t="s">
        <v>90</v>
      </c>
      <c r="P24" s="1" t="s">
        <v>194</v>
      </c>
      <c r="S24" t="s">
        <v>1110</v>
      </c>
      <c r="W24" t="s">
        <v>1145</v>
      </c>
      <c r="Y24" t="s">
        <v>1266</v>
      </c>
    </row>
    <row r="25" spans="1:25" hidden="1" x14ac:dyDescent="0.35">
      <c r="A25" t="s">
        <v>102</v>
      </c>
      <c r="B25" t="s">
        <v>115</v>
      </c>
      <c r="C25" t="s">
        <v>1256</v>
      </c>
      <c r="D25" t="s">
        <v>1121</v>
      </c>
      <c r="E25" t="s">
        <v>147</v>
      </c>
      <c r="F25" t="s">
        <v>90</v>
      </c>
      <c r="P25" s="1" t="s">
        <v>194</v>
      </c>
      <c r="S25" t="s">
        <v>1110</v>
      </c>
      <c r="W25" t="s">
        <v>1145</v>
      </c>
      <c r="Y25" t="s">
        <v>1266</v>
      </c>
    </row>
    <row r="26" spans="1:25" hidden="1" x14ac:dyDescent="0.35">
      <c r="A26" t="s">
        <v>118</v>
      </c>
      <c r="B26" t="s">
        <v>1122</v>
      </c>
      <c r="C26" t="s">
        <v>1256</v>
      </c>
      <c r="D26" t="s">
        <v>1119</v>
      </c>
      <c r="E26" t="s">
        <v>147</v>
      </c>
      <c r="F26" t="s">
        <v>90</v>
      </c>
      <c r="N26" t="s">
        <v>1124</v>
      </c>
      <c r="P26" s="1" t="s">
        <v>194</v>
      </c>
      <c r="Q26" t="s">
        <v>1142</v>
      </c>
      <c r="S26" t="s">
        <v>1110</v>
      </c>
    </row>
    <row r="27" spans="1:25" hidden="1" x14ac:dyDescent="0.35">
      <c r="A27" t="s">
        <v>118</v>
      </c>
      <c r="B27" t="s">
        <v>116</v>
      </c>
      <c r="C27" t="s">
        <v>1256</v>
      </c>
      <c r="D27" t="s">
        <v>1121</v>
      </c>
      <c r="E27" t="s">
        <v>147</v>
      </c>
      <c r="F27" t="s">
        <v>90</v>
      </c>
      <c r="P27" s="1" t="s">
        <v>194</v>
      </c>
      <c r="S27" t="s">
        <v>1110</v>
      </c>
      <c r="W27" t="s">
        <v>1146</v>
      </c>
      <c r="Y27" t="s">
        <v>1274</v>
      </c>
    </row>
    <row r="28" spans="1:25" hidden="1" x14ac:dyDescent="0.35">
      <c r="A28" t="s">
        <v>118</v>
      </c>
      <c r="B28" t="s">
        <v>1123</v>
      </c>
      <c r="C28" t="s">
        <v>1256</v>
      </c>
      <c r="D28" t="s">
        <v>1275</v>
      </c>
      <c r="E28" t="s">
        <v>147</v>
      </c>
      <c r="F28" t="s">
        <v>90</v>
      </c>
      <c r="P28" s="1" t="s">
        <v>194</v>
      </c>
      <c r="S28" t="s">
        <v>1110</v>
      </c>
      <c r="W28" t="s">
        <v>1146</v>
      </c>
    </row>
    <row r="29" spans="1:25" hidden="1" x14ac:dyDescent="0.35">
      <c r="A29" t="s">
        <v>118</v>
      </c>
      <c r="B29" t="s">
        <v>117</v>
      </c>
      <c r="C29" t="s">
        <v>1256</v>
      </c>
      <c r="D29" t="s">
        <v>1121</v>
      </c>
      <c r="E29" t="s">
        <v>147</v>
      </c>
      <c r="F29" t="s">
        <v>90</v>
      </c>
      <c r="P29" s="1" t="s">
        <v>194</v>
      </c>
      <c r="S29" t="s">
        <v>1110</v>
      </c>
      <c r="W29" t="s">
        <v>1146</v>
      </c>
    </row>
    <row r="30" spans="1:25" hidden="1" x14ac:dyDescent="0.35">
      <c r="A30" t="s">
        <v>120</v>
      </c>
      <c r="B30" t="s">
        <v>119</v>
      </c>
      <c r="C30" t="s">
        <v>1260</v>
      </c>
      <c r="D30" t="s">
        <v>1118</v>
      </c>
      <c r="E30" t="s">
        <v>147</v>
      </c>
      <c r="F30" t="s">
        <v>90</v>
      </c>
      <c r="K30" s="3" t="s">
        <v>181</v>
      </c>
      <c r="L30" s="3" t="s">
        <v>181</v>
      </c>
      <c r="M30" s="1"/>
      <c r="P30" s="1" t="s">
        <v>194</v>
      </c>
      <c r="S30" t="s">
        <v>1110</v>
      </c>
    </row>
    <row r="31" spans="1:25" hidden="1" x14ac:dyDescent="0.35">
      <c r="A31" t="s">
        <v>131</v>
      </c>
      <c r="B31" t="s">
        <v>121</v>
      </c>
      <c r="C31" t="s">
        <v>1257</v>
      </c>
      <c r="D31" t="s">
        <v>1118</v>
      </c>
      <c r="E31" t="s">
        <v>147</v>
      </c>
      <c r="F31" t="s">
        <v>90</v>
      </c>
      <c r="G31" t="s">
        <v>463</v>
      </c>
      <c r="H31" t="s">
        <v>232</v>
      </c>
      <c r="I31" t="s">
        <v>233</v>
      </c>
      <c r="J31" t="s">
        <v>233</v>
      </c>
      <c r="K31">
        <v>0</v>
      </c>
      <c r="L31" t="s">
        <v>234</v>
      </c>
      <c r="M31" s="1" t="s">
        <v>1139</v>
      </c>
      <c r="P31" s="1" t="s">
        <v>194</v>
      </c>
      <c r="S31" t="s">
        <v>1110</v>
      </c>
    </row>
    <row r="32" spans="1:25" hidden="1" x14ac:dyDescent="0.35">
      <c r="A32" t="s">
        <v>131</v>
      </c>
      <c r="B32" t="s">
        <v>122</v>
      </c>
      <c r="C32" t="s">
        <v>1257</v>
      </c>
      <c r="D32" t="s">
        <v>1118</v>
      </c>
      <c r="E32" t="s">
        <v>147</v>
      </c>
      <c r="F32" t="s">
        <v>90</v>
      </c>
      <c r="G32" t="s">
        <v>463</v>
      </c>
      <c r="H32" t="s">
        <v>232</v>
      </c>
      <c r="I32" t="s">
        <v>233</v>
      </c>
      <c r="J32" t="s">
        <v>233</v>
      </c>
      <c r="K32">
        <v>0</v>
      </c>
      <c r="L32" t="s">
        <v>234</v>
      </c>
      <c r="M32" s="1" t="s">
        <v>1140</v>
      </c>
      <c r="P32" s="1" t="s">
        <v>194</v>
      </c>
      <c r="S32" t="s">
        <v>1110</v>
      </c>
    </row>
    <row r="33" spans="1:25" hidden="1" x14ac:dyDescent="0.35">
      <c r="A33" t="s">
        <v>131</v>
      </c>
      <c r="B33" t="s">
        <v>123</v>
      </c>
      <c r="C33" t="s">
        <v>1257</v>
      </c>
      <c r="D33" t="s">
        <v>1118</v>
      </c>
      <c r="E33" t="s">
        <v>147</v>
      </c>
      <c r="F33" t="s">
        <v>90</v>
      </c>
      <c r="G33" t="s">
        <v>463</v>
      </c>
      <c r="H33" t="s">
        <v>232</v>
      </c>
      <c r="I33" t="s">
        <v>233</v>
      </c>
      <c r="J33" t="s">
        <v>233</v>
      </c>
      <c r="K33">
        <v>0</v>
      </c>
      <c r="L33" t="s">
        <v>234</v>
      </c>
      <c r="M33" s="1" t="s">
        <v>1139</v>
      </c>
      <c r="P33" s="1" t="s">
        <v>194</v>
      </c>
      <c r="S33" t="s">
        <v>1110</v>
      </c>
    </row>
    <row r="34" spans="1:25" hidden="1" x14ac:dyDescent="0.35">
      <c r="A34" t="s">
        <v>131</v>
      </c>
      <c r="B34" t="s">
        <v>124</v>
      </c>
      <c r="C34" t="s">
        <v>1257</v>
      </c>
      <c r="D34" t="s">
        <v>1118</v>
      </c>
      <c r="E34" t="s">
        <v>147</v>
      </c>
      <c r="F34" t="s">
        <v>90</v>
      </c>
      <c r="G34" t="s">
        <v>463</v>
      </c>
      <c r="H34" t="s">
        <v>232</v>
      </c>
      <c r="I34" t="s">
        <v>233</v>
      </c>
      <c r="J34" t="s">
        <v>233</v>
      </c>
      <c r="K34">
        <v>0</v>
      </c>
      <c r="L34" t="s">
        <v>234</v>
      </c>
      <c r="M34" s="1" t="s">
        <v>1139</v>
      </c>
      <c r="P34" s="1" t="s">
        <v>194</v>
      </c>
      <c r="S34" t="s">
        <v>1110</v>
      </c>
    </row>
    <row r="35" spans="1:25" hidden="1" x14ac:dyDescent="0.35">
      <c r="A35" t="s">
        <v>131</v>
      </c>
      <c r="B35" t="s">
        <v>125</v>
      </c>
      <c r="C35" t="s">
        <v>1257</v>
      </c>
      <c r="D35" t="s">
        <v>1118</v>
      </c>
      <c r="E35" t="s">
        <v>147</v>
      </c>
      <c r="F35" t="s">
        <v>90</v>
      </c>
      <c r="G35" t="s">
        <v>463</v>
      </c>
      <c r="H35" t="s">
        <v>232</v>
      </c>
      <c r="I35" t="s">
        <v>233</v>
      </c>
      <c r="J35" t="s">
        <v>233</v>
      </c>
      <c r="K35">
        <v>0</v>
      </c>
      <c r="L35" t="s">
        <v>234</v>
      </c>
      <c r="M35" s="1" t="s">
        <v>1139</v>
      </c>
      <c r="P35" s="1" t="s">
        <v>194</v>
      </c>
      <c r="S35" t="s">
        <v>1110</v>
      </c>
    </row>
    <row r="36" spans="1:25" hidden="1" x14ac:dyDescent="0.35">
      <c r="A36" t="s">
        <v>131</v>
      </c>
      <c r="B36" t="s">
        <v>126</v>
      </c>
      <c r="C36" t="s">
        <v>1257</v>
      </c>
      <c r="D36" t="s">
        <v>1118</v>
      </c>
      <c r="E36" t="s">
        <v>147</v>
      </c>
      <c r="F36" t="s">
        <v>90</v>
      </c>
      <c r="G36" t="s">
        <v>463</v>
      </c>
      <c r="H36" t="s">
        <v>232</v>
      </c>
      <c r="I36" t="s">
        <v>233</v>
      </c>
      <c r="J36" t="s">
        <v>233</v>
      </c>
      <c r="K36">
        <v>0</v>
      </c>
      <c r="L36" t="s">
        <v>234</v>
      </c>
      <c r="M36" s="1" t="s">
        <v>1140</v>
      </c>
      <c r="P36" s="1" t="s">
        <v>194</v>
      </c>
      <c r="S36" t="s">
        <v>1110</v>
      </c>
    </row>
    <row r="37" spans="1:25" hidden="1" x14ac:dyDescent="0.35">
      <c r="A37" t="s">
        <v>131</v>
      </c>
      <c r="B37" t="s">
        <v>127</v>
      </c>
      <c r="C37" t="s">
        <v>1257</v>
      </c>
      <c r="D37" t="s">
        <v>1118</v>
      </c>
      <c r="E37" t="s">
        <v>147</v>
      </c>
      <c r="F37" t="s">
        <v>90</v>
      </c>
      <c r="G37" t="s">
        <v>463</v>
      </c>
      <c r="H37" t="s">
        <v>232</v>
      </c>
      <c r="I37" t="s">
        <v>233</v>
      </c>
      <c r="J37" t="s">
        <v>233</v>
      </c>
      <c r="K37">
        <v>0</v>
      </c>
      <c r="L37" t="s">
        <v>234</v>
      </c>
      <c r="M37" s="1" t="s">
        <v>1141</v>
      </c>
      <c r="P37" s="1" t="s">
        <v>194</v>
      </c>
      <c r="S37" t="s">
        <v>1110</v>
      </c>
    </row>
    <row r="38" spans="1:25" hidden="1" x14ac:dyDescent="0.35">
      <c r="A38" t="s">
        <v>131</v>
      </c>
      <c r="B38" t="s">
        <v>128</v>
      </c>
      <c r="C38" t="s">
        <v>1257</v>
      </c>
      <c r="D38" t="s">
        <v>1118</v>
      </c>
      <c r="E38" t="s">
        <v>147</v>
      </c>
      <c r="F38" t="s">
        <v>90</v>
      </c>
      <c r="G38" t="s">
        <v>463</v>
      </c>
      <c r="H38" t="s">
        <v>232</v>
      </c>
      <c r="I38" t="s">
        <v>233</v>
      </c>
      <c r="J38" t="s">
        <v>233</v>
      </c>
      <c r="K38">
        <v>0</v>
      </c>
      <c r="L38" t="s">
        <v>234</v>
      </c>
      <c r="M38" s="1" t="s">
        <v>1139</v>
      </c>
      <c r="P38" s="1" t="s">
        <v>194</v>
      </c>
      <c r="S38" t="s">
        <v>1110</v>
      </c>
    </row>
    <row r="39" spans="1:25" hidden="1" x14ac:dyDescent="0.35">
      <c r="A39" t="s">
        <v>131</v>
      </c>
      <c r="B39" t="s">
        <v>129</v>
      </c>
      <c r="C39" t="s">
        <v>1257</v>
      </c>
      <c r="D39" t="s">
        <v>1121</v>
      </c>
      <c r="E39" t="s">
        <v>147</v>
      </c>
      <c r="F39" t="s">
        <v>90</v>
      </c>
      <c r="M39" s="1"/>
      <c r="P39" s="1" t="s">
        <v>194</v>
      </c>
      <c r="S39" t="s">
        <v>1110</v>
      </c>
      <c r="W39" t="s">
        <v>1147</v>
      </c>
      <c r="Y39" t="s">
        <v>1276</v>
      </c>
    </row>
    <row r="40" spans="1:25" hidden="1" x14ac:dyDescent="0.35">
      <c r="A40" t="s">
        <v>131</v>
      </c>
      <c r="B40" t="s">
        <v>130</v>
      </c>
      <c r="C40" t="s">
        <v>1257</v>
      </c>
      <c r="D40" t="s">
        <v>1121</v>
      </c>
      <c r="E40" t="s">
        <v>147</v>
      </c>
      <c r="F40" t="s">
        <v>90</v>
      </c>
      <c r="P40" s="1" t="s">
        <v>194</v>
      </c>
      <c r="S40" t="s">
        <v>1110</v>
      </c>
      <c r="W40" t="s">
        <v>1147</v>
      </c>
      <c r="Y40" t="s">
        <v>1277</v>
      </c>
    </row>
    <row r="41" spans="1:25" s="14" customFormat="1" hidden="1" x14ac:dyDescent="0.35">
      <c r="A41" s="14" t="s">
        <v>137</v>
      </c>
      <c r="B41" s="14" t="s">
        <v>1278</v>
      </c>
      <c r="C41" s="14" t="s">
        <v>1258</v>
      </c>
      <c r="D41" s="14" t="s">
        <v>1118</v>
      </c>
      <c r="E41" s="14" t="s">
        <v>147</v>
      </c>
      <c r="F41" s="14" t="s">
        <v>90</v>
      </c>
      <c r="G41" s="14" t="s">
        <v>1285</v>
      </c>
      <c r="H41" s="14" t="s">
        <v>232</v>
      </c>
      <c r="I41" s="14" t="s">
        <v>233</v>
      </c>
      <c r="J41" s="14" t="s">
        <v>233</v>
      </c>
      <c r="K41" s="14">
        <v>0</v>
      </c>
      <c r="L41" s="14" t="s">
        <v>234</v>
      </c>
      <c r="M41" s="15" t="s">
        <v>1139</v>
      </c>
      <c r="P41" s="15" t="s">
        <v>194</v>
      </c>
      <c r="S41" s="14" t="s">
        <v>1110</v>
      </c>
    </row>
    <row r="42" spans="1:25" s="14" customFormat="1" hidden="1" x14ac:dyDescent="0.35">
      <c r="A42" s="14" t="s">
        <v>137</v>
      </c>
      <c r="B42" s="14" t="s">
        <v>1279</v>
      </c>
      <c r="C42" s="14" t="s">
        <v>1258</v>
      </c>
      <c r="D42" s="14" t="s">
        <v>1118</v>
      </c>
      <c r="E42" s="14" t="s">
        <v>147</v>
      </c>
      <c r="F42" s="14" t="s">
        <v>90</v>
      </c>
      <c r="G42" s="14" t="s">
        <v>1285</v>
      </c>
      <c r="H42" s="14" t="s">
        <v>232</v>
      </c>
      <c r="I42" s="14" t="s">
        <v>233</v>
      </c>
      <c r="J42" s="14" t="s">
        <v>233</v>
      </c>
      <c r="K42" s="14">
        <v>0</v>
      </c>
      <c r="L42" s="14" t="s">
        <v>1284</v>
      </c>
      <c r="M42" s="15" t="s">
        <v>1139</v>
      </c>
      <c r="P42" s="15" t="s">
        <v>194</v>
      </c>
      <c r="S42" s="14" t="s">
        <v>1110</v>
      </c>
    </row>
    <row r="43" spans="1:25" s="14" customFormat="1" hidden="1" x14ac:dyDescent="0.35">
      <c r="A43" s="14" t="s">
        <v>137</v>
      </c>
      <c r="B43" s="14" t="s">
        <v>1280</v>
      </c>
      <c r="C43" s="14" t="s">
        <v>1258</v>
      </c>
      <c r="D43" s="14" t="s">
        <v>1118</v>
      </c>
      <c r="E43" s="14" t="s">
        <v>147</v>
      </c>
      <c r="F43" s="14" t="s">
        <v>90</v>
      </c>
      <c r="G43" s="14" t="s">
        <v>1285</v>
      </c>
      <c r="H43" s="14" t="s">
        <v>232</v>
      </c>
      <c r="I43" s="14" t="s">
        <v>233</v>
      </c>
      <c r="J43" s="14" t="s">
        <v>233</v>
      </c>
      <c r="K43" s="14">
        <v>0</v>
      </c>
      <c r="L43" s="14" t="s">
        <v>1284</v>
      </c>
      <c r="M43" s="15" t="s">
        <v>1139</v>
      </c>
      <c r="P43" s="15" t="s">
        <v>194</v>
      </c>
      <c r="S43" s="14" t="s">
        <v>1110</v>
      </c>
    </row>
    <row r="44" spans="1:25" s="14" customFormat="1" hidden="1" x14ac:dyDescent="0.35">
      <c r="A44" s="14" t="s">
        <v>137</v>
      </c>
      <c r="B44" s="14" t="s">
        <v>1281</v>
      </c>
      <c r="C44" s="14" t="s">
        <v>1258</v>
      </c>
      <c r="D44" s="14" t="s">
        <v>1118</v>
      </c>
      <c r="E44" s="14" t="s">
        <v>147</v>
      </c>
      <c r="F44" s="14" t="s">
        <v>90</v>
      </c>
      <c r="G44" s="14" t="s">
        <v>1285</v>
      </c>
      <c r="H44" s="14" t="s">
        <v>232</v>
      </c>
      <c r="I44" s="14" t="s">
        <v>233</v>
      </c>
      <c r="J44" s="14" t="s">
        <v>233</v>
      </c>
      <c r="K44" s="14">
        <v>0</v>
      </c>
      <c r="L44" s="14" t="s">
        <v>234</v>
      </c>
      <c r="M44" s="15" t="s">
        <v>1139</v>
      </c>
      <c r="P44" s="15" t="s">
        <v>194</v>
      </c>
      <c r="S44" s="14" t="s">
        <v>1110</v>
      </c>
    </row>
    <row r="45" spans="1:25" s="14" customFormat="1" hidden="1" x14ac:dyDescent="0.35">
      <c r="A45" s="14" t="s">
        <v>137</v>
      </c>
      <c r="B45" s="14" t="s">
        <v>1282</v>
      </c>
      <c r="C45" s="14" t="s">
        <v>1258</v>
      </c>
      <c r="D45" s="14" t="s">
        <v>1118</v>
      </c>
      <c r="E45" s="14" t="s">
        <v>147</v>
      </c>
      <c r="F45" s="14" t="s">
        <v>90</v>
      </c>
      <c r="G45" s="14" t="s">
        <v>1285</v>
      </c>
      <c r="H45" s="14" t="s">
        <v>232</v>
      </c>
      <c r="I45" s="14" t="s">
        <v>233</v>
      </c>
      <c r="J45" s="14" t="s">
        <v>233</v>
      </c>
      <c r="K45" s="14">
        <v>0</v>
      </c>
      <c r="L45" s="14" t="s">
        <v>1284</v>
      </c>
      <c r="M45" s="15" t="s">
        <v>1139</v>
      </c>
      <c r="P45" s="15" t="s">
        <v>194</v>
      </c>
      <c r="S45" s="14" t="s">
        <v>1110</v>
      </c>
    </row>
    <row r="46" spans="1:25" s="14" customFormat="1" hidden="1" x14ac:dyDescent="0.35">
      <c r="A46" s="14" t="s">
        <v>137</v>
      </c>
      <c r="B46" s="14" t="s">
        <v>1283</v>
      </c>
      <c r="C46" s="14" t="s">
        <v>1258</v>
      </c>
      <c r="D46" s="14" t="s">
        <v>1118</v>
      </c>
      <c r="E46" s="14" t="s">
        <v>147</v>
      </c>
      <c r="F46" s="14" t="s">
        <v>90</v>
      </c>
      <c r="G46" s="14" t="s">
        <v>1285</v>
      </c>
      <c r="H46" s="14" t="s">
        <v>232</v>
      </c>
      <c r="I46" s="14" t="s">
        <v>233</v>
      </c>
      <c r="J46" s="14" t="s">
        <v>233</v>
      </c>
      <c r="K46" s="14">
        <v>0</v>
      </c>
      <c r="L46" s="14" t="s">
        <v>1284</v>
      </c>
      <c r="M46" s="15" t="s">
        <v>1139</v>
      </c>
      <c r="P46" s="15" t="s">
        <v>194</v>
      </c>
      <c r="S46" s="14" t="s">
        <v>1110</v>
      </c>
    </row>
    <row r="47" spans="1:25" s="14" customFormat="1" hidden="1" x14ac:dyDescent="0.35">
      <c r="A47" s="14" t="s">
        <v>137</v>
      </c>
      <c r="B47" s="14" t="s">
        <v>1293</v>
      </c>
      <c r="C47" s="14" t="s">
        <v>1258</v>
      </c>
      <c r="D47" s="14" t="s">
        <v>1118</v>
      </c>
      <c r="E47" s="14" t="s">
        <v>147</v>
      </c>
      <c r="F47" s="14" t="s">
        <v>90</v>
      </c>
      <c r="G47" s="14" t="s">
        <v>1286</v>
      </c>
      <c r="H47" s="14" t="s">
        <v>232</v>
      </c>
      <c r="I47" s="14" t="s">
        <v>233</v>
      </c>
      <c r="J47" s="14" t="s">
        <v>233</v>
      </c>
      <c r="K47" s="14">
        <v>0</v>
      </c>
      <c r="L47" s="14" t="s">
        <v>234</v>
      </c>
      <c r="M47" s="15" t="s">
        <v>1139</v>
      </c>
      <c r="P47" s="15" t="s">
        <v>194</v>
      </c>
      <c r="S47" s="14" t="s">
        <v>1110</v>
      </c>
    </row>
    <row r="48" spans="1:25" s="14" customFormat="1" hidden="1" x14ac:dyDescent="0.35">
      <c r="A48" s="14" t="s">
        <v>137</v>
      </c>
      <c r="B48" s="14" t="s">
        <v>1292</v>
      </c>
      <c r="C48" s="14" t="s">
        <v>1258</v>
      </c>
      <c r="D48" s="14" t="s">
        <v>1118</v>
      </c>
      <c r="E48" s="14" t="s">
        <v>147</v>
      </c>
      <c r="F48" s="14" t="s">
        <v>90</v>
      </c>
      <c r="G48" s="14" t="s">
        <v>1286</v>
      </c>
      <c r="H48" s="14" t="s">
        <v>232</v>
      </c>
      <c r="I48" s="14" t="s">
        <v>233</v>
      </c>
      <c r="J48" s="14" t="s">
        <v>233</v>
      </c>
      <c r="K48" s="14">
        <v>0</v>
      </c>
      <c r="L48" s="14" t="s">
        <v>1287</v>
      </c>
      <c r="M48" s="15" t="s">
        <v>1139</v>
      </c>
      <c r="P48" s="15" t="s">
        <v>194</v>
      </c>
      <c r="S48" s="14" t="s">
        <v>1110</v>
      </c>
    </row>
    <row r="49" spans="1:25" s="14" customFormat="1" hidden="1" x14ac:dyDescent="0.35">
      <c r="A49" s="14" t="s">
        <v>137</v>
      </c>
      <c r="B49" s="14" t="s">
        <v>1294</v>
      </c>
      <c r="C49" s="14" t="s">
        <v>1258</v>
      </c>
      <c r="D49" s="14" t="s">
        <v>1118</v>
      </c>
      <c r="E49" s="14" t="s">
        <v>147</v>
      </c>
      <c r="F49" s="14" t="s">
        <v>90</v>
      </c>
      <c r="G49" s="14" t="s">
        <v>1286</v>
      </c>
      <c r="H49" s="14" t="s">
        <v>232</v>
      </c>
      <c r="I49" s="14" t="s">
        <v>233</v>
      </c>
      <c r="J49" s="14" t="s">
        <v>233</v>
      </c>
      <c r="K49" s="14">
        <v>0</v>
      </c>
      <c r="L49" s="14" t="s">
        <v>1288</v>
      </c>
      <c r="M49" s="15" t="s">
        <v>1139</v>
      </c>
      <c r="P49" s="15" t="s">
        <v>194</v>
      </c>
      <c r="S49" s="14" t="s">
        <v>1110</v>
      </c>
    </row>
    <row r="50" spans="1:25" s="14" customFormat="1" hidden="1" x14ac:dyDescent="0.35">
      <c r="A50" s="14" t="s">
        <v>137</v>
      </c>
      <c r="B50" s="14" t="s">
        <v>1295</v>
      </c>
      <c r="C50" s="14" t="s">
        <v>1258</v>
      </c>
      <c r="D50" s="14" t="s">
        <v>1118</v>
      </c>
      <c r="E50" s="14" t="s">
        <v>147</v>
      </c>
      <c r="F50" s="14" t="s">
        <v>90</v>
      </c>
      <c r="G50" s="14" t="s">
        <v>1286</v>
      </c>
      <c r="H50" s="14" t="s">
        <v>232</v>
      </c>
      <c r="I50" s="14" t="s">
        <v>233</v>
      </c>
      <c r="J50" s="14" t="s">
        <v>233</v>
      </c>
      <c r="K50" s="14">
        <v>0</v>
      </c>
      <c r="L50" s="14" t="s">
        <v>1289</v>
      </c>
      <c r="M50" s="15" t="s">
        <v>1139</v>
      </c>
      <c r="P50" s="15" t="s">
        <v>194</v>
      </c>
      <c r="S50" s="14" t="s">
        <v>1110</v>
      </c>
    </row>
    <row r="51" spans="1:25" s="14" customFormat="1" hidden="1" x14ac:dyDescent="0.35">
      <c r="A51" s="14" t="s">
        <v>137</v>
      </c>
      <c r="B51" s="14" t="s">
        <v>1296</v>
      </c>
      <c r="C51" s="14" t="s">
        <v>1258</v>
      </c>
      <c r="D51" s="14" t="s">
        <v>1118</v>
      </c>
      <c r="E51" s="14" t="s">
        <v>147</v>
      </c>
      <c r="F51" s="14" t="s">
        <v>90</v>
      </c>
      <c r="G51" s="14" t="s">
        <v>1286</v>
      </c>
      <c r="H51" s="14" t="s">
        <v>232</v>
      </c>
      <c r="I51" s="14" t="s">
        <v>233</v>
      </c>
      <c r="J51" s="14" t="s">
        <v>233</v>
      </c>
      <c r="K51" s="14">
        <v>0</v>
      </c>
      <c r="L51" s="14" t="s">
        <v>1290</v>
      </c>
      <c r="M51" s="15" t="s">
        <v>1139</v>
      </c>
      <c r="P51" s="15" t="s">
        <v>194</v>
      </c>
      <c r="S51" s="14" t="s">
        <v>1110</v>
      </c>
    </row>
    <row r="52" spans="1:25" s="14" customFormat="1" hidden="1" x14ac:dyDescent="0.35">
      <c r="A52" s="14" t="s">
        <v>137</v>
      </c>
      <c r="B52" s="14" t="s">
        <v>1297</v>
      </c>
      <c r="C52" s="14" t="s">
        <v>1258</v>
      </c>
      <c r="D52" s="14" t="s">
        <v>1118</v>
      </c>
      <c r="E52" s="14" t="s">
        <v>147</v>
      </c>
      <c r="F52" s="14" t="s">
        <v>90</v>
      </c>
      <c r="G52" s="14" t="s">
        <v>1286</v>
      </c>
      <c r="H52" s="14" t="s">
        <v>232</v>
      </c>
      <c r="I52" s="14" t="s">
        <v>233</v>
      </c>
      <c r="J52" s="14" t="s">
        <v>233</v>
      </c>
      <c r="K52" s="14">
        <v>0</v>
      </c>
      <c r="L52" s="14" t="s">
        <v>234</v>
      </c>
      <c r="M52" s="15" t="s">
        <v>1291</v>
      </c>
      <c r="P52" s="15" t="s">
        <v>194</v>
      </c>
      <c r="S52" s="14" t="s">
        <v>1110</v>
      </c>
    </row>
    <row r="53" spans="1:25" s="14" customFormat="1" hidden="1" x14ac:dyDescent="0.35">
      <c r="A53" s="14" t="s">
        <v>137</v>
      </c>
      <c r="B53" s="14" t="s">
        <v>1298</v>
      </c>
      <c r="C53" s="14" t="s">
        <v>1258</v>
      </c>
      <c r="D53" s="14" t="s">
        <v>1118</v>
      </c>
      <c r="E53" s="14" t="s">
        <v>147</v>
      </c>
      <c r="F53" s="14" t="s">
        <v>90</v>
      </c>
      <c r="G53" s="14" t="s">
        <v>1286</v>
      </c>
      <c r="H53" s="14" t="s">
        <v>232</v>
      </c>
      <c r="I53" s="14" t="s">
        <v>233</v>
      </c>
      <c r="J53" s="14" t="s">
        <v>233</v>
      </c>
      <c r="K53" s="14">
        <v>0</v>
      </c>
      <c r="L53" s="14" t="s">
        <v>234</v>
      </c>
      <c r="M53" s="15" t="s">
        <v>1140</v>
      </c>
      <c r="P53" s="15" t="s">
        <v>194</v>
      </c>
      <c r="S53" s="14" t="s">
        <v>1110</v>
      </c>
    </row>
    <row r="54" spans="1:25" s="14" customFormat="1" hidden="1" x14ac:dyDescent="0.35">
      <c r="A54" s="14" t="s">
        <v>137</v>
      </c>
      <c r="B54" s="14" t="s">
        <v>1299</v>
      </c>
      <c r="C54" s="14" t="s">
        <v>1258</v>
      </c>
      <c r="D54" s="14" t="s">
        <v>1118</v>
      </c>
      <c r="E54" s="14" t="s">
        <v>147</v>
      </c>
      <c r="F54" s="14" t="s">
        <v>90</v>
      </c>
      <c r="G54" s="14" t="s">
        <v>1286</v>
      </c>
      <c r="H54" s="14" t="s">
        <v>232</v>
      </c>
      <c r="I54" s="14" t="s">
        <v>233</v>
      </c>
      <c r="J54" s="14" t="s">
        <v>233</v>
      </c>
      <c r="K54" s="14">
        <v>0</v>
      </c>
      <c r="L54" s="14" t="s">
        <v>234</v>
      </c>
      <c r="M54" s="15" t="s">
        <v>1140</v>
      </c>
      <c r="P54" s="15" t="s">
        <v>194</v>
      </c>
      <c r="S54" s="14" t="s">
        <v>1110</v>
      </c>
    </row>
    <row r="55" spans="1:25" s="14" customFormat="1" hidden="1" x14ac:dyDescent="0.35">
      <c r="A55" s="14" t="s">
        <v>137</v>
      </c>
      <c r="B55" s="14" t="s">
        <v>1300</v>
      </c>
      <c r="C55" s="14" t="s">
        <v>1258</v>
      </c>
      <c r="D55" s="14" t="s">
        <v>1121</v>
      </c>
      <c r="E55" s="14" t="s">
        <v>147</v>
      </c>
      <c r="F55" s="14" t="s">
        <v>90</v>
      </c>
      <c r="P55" s="15" t="s">
        <v>194</v>
      </c>
      <c r="S55" s="14" t="s">
        <v>1110</v>
      </c>
      <c r="W55" s="14" t="s">
        <v>1148</v>
      </c>
      <c r="Y55" s="14" t="s">
        <v>1267</v>
      </c>
    </row>
    <row r="56" spans="1:25" s="14" customFormat="1" hidden="1" x14ac:dyDescent="0.35">
      <c r="A56" s="14" t="s">
        <v>137</v>
      </c>
      <c r="B56" s="14" t="s">
        <v>1301</v>
      </c>
      <c r="C56" s="14" t="s">
        <v>1258</v>
      </c>
      <c r="D56" s="14" t="s">
        <v>1118</v>
      </c>
      <c r="E56" s="14" t="s">
        <v>147</v>
      </c>
      <c r="F56" s="14" t="s">
        <v>90</v>
      </c>
      <c r="G56" s="14" t="s">
        <v>1286</v>
      </c>
      <c r="H56" s="14" t="s">
        <v>232</v>
      </c>
      <c r="I56" s="14" t="s">
        <v>233</v>
      </c>
      <c r="J56" s="14" t="s">
        <v>233</v>
      </c>
      <c r="K56" s="14">
        <v>0</v>
      </c>
      <c r="L56" s="14" t="s">
        <v>234</v>
      </c>
      <c r="M56" s="15" t="s">
        <v>1139</v>
      </c>
      <c r="P56" s="15" t="s">
        <v>194</v>
      </c>
      <c r="S56" s="14" t="s">
        <v>1110</v>
      </c>
    </row>
    <row r="57" spans="1:25" s="14" customFormat="1" hidden="1" x14ac:dyDescent="0.35">
      <c r="A57" s="14" t="s">
        <v>137</v>
      </c>
      <c r="B57" s="14" t="s">
        <v>1302</v>
      </c>
      <c r="C57" s="14" t="s">
        <v>1258</v>
      </c>
      <c r="D57" s="14" t="s">
        <v>1118</v>
      </c>
      <c r="E57" s="14" t="s">
        <v>147</v>
      </c>
      <c r="F57" s="14" t="s">
        <v>90</v>
      </c>
      <c r="G57" s="14" t="s">
        <v>1286</v>
      </c>
      <c r="H57" s="14" t="s">
        <v>232</v>
      </c>
      <c r="I57" s="14" t="s">
        <v>233</v>
      </c>
      <c r="J57" s="14" t="s">
        <v>233</v>
      </c>
      <c r="K57" s="14">
        <v>0</v>
      </c>
      <c r="L57" s="14" t="s">
        <v>1287</v>
      </c>
      <c r="M57" s="15" t="s">
        <v>1139</v>
      </c>
      <c r="P57" s="15" t="s">
        <v>194</v>
      </c>
      <c r="S57" s="14" t="s">
        <v>1110</v>
      </c>
    </row>
    <row r="58" spans="1:25" s="14" customFormat="1" hidden="1" x14ac:dyDescent="0.35">
      <c r="A58" s="14" t="s">
        <v>137</v>
      </c>
      <c r="B58" s="14" t="s">
        <v>1303</v>
      </c>
      <c r="C58" s="14" t="s">
        <v>1258</v>
      </c>
      <c r="D58" s="14" t="s">
        <v>1118</v>
      </c>
      <c r="E58" s="14" t="s">
        <v>147</v>
      </c>
      <c r="F58" s="14" t="s">
        <v>90</v>
      </c>
      <c r="G58" s="14" t="s">
        <v>1286</v>
      </c>
      <c r="H58" s="14" t="s">
        <v>232</v>
      </c>
      <c r="I58" s="14" t="s">
        <v>233</v>
      </c>
      <c r="J58" s="14" t="s">
        <v>233</v>
      </c>
      <c r="K58" s="14">
        <v>0</v>
      </c>
      <c r="L58" s="14" t="s">
        <v>1288</v>
      </c>
      <c r="M58" s="15" t="s">
        <v>1139</v>
      </c>
      <c r="P58" s="15" t="s">
        <v>194</v>
      </c>
      <c r="S58" s="14" t="s">
        <v>1110</v>
      </c>
    </row>
    <row r="59" spans="1:25" s="14" customFormat="1" hidden="1" x14ac:dyDescent="0.35">
      <c r="A59" s="14" t="s">
        <v>137</v>
      </c>
      <c r="B59" s="14" t="s">
        <v>1304</v>
      </c>
      <c r="C59" s="14" t="s">
        <v>1258</v>
      </c>
      <c r="D59" s="14" t="s">
        <v>1118</v>
      </c>
      <c r="E59" s="14" t="s">
        <v>147</v>
      </c>
      <c r="F59" s="14" t="s">
        <v>90</v>
      </c>
      <c r="G59" s="14" t="s">
        <v>1286</v>
      </c>
      <c r="H59" s="14" t="s">
        <v>232</v>
      </c>
      <c r="I59" s="14" t="s">
        <v>233</v>
      </c>
      <c r="J59" s="14" t="s">
        <v>233</v>
      </c>
      <c r="K59" s="14">
        <v>0</v>
      </c>
      <c r="L59" s="14" t="s">
        <v>1289</v>
      </c>
      <c r="M59" s="15" t="s">
        <v>1139</v>
      </c>
      <c r="P59" s="15" t="s">
        <v>194</v>
      </c>
      <c r="S59" s="14" t="s">
        <v>1110</v>
      </c>
    </row>
    <row r="60" spans="1:25" s="14" customFormat="1" hidden="1" x14ac:dyDescent="0.35">
      <c r="A60" s="14" t="s">
        <v>137</v>
      </c>
      <c r="B60" s="14" t="s">
        <v>1305</v>
      </c>
      <c r="C60" s="14" t="s">
        <v>1258</v>
      </c>
      <c r="D60" s="14" t="s">
        <v>1118</v>
      </c>
      <c r="E60" s="14" t="s">
        <v>147</v>
      </c>
      <c r="F60" s="14" t="s">
        <v>90</v>
      </c>
      <c r="G60" s="14" t="s">
        <v>1286</v>
      </c>
      <c r="H60" s="14" t="s">
        <v>232</v>
      </c>
      <c r="I60" s="14" t="s">
        <v>233</v>
      </c>
      <c r="J60" s="14" t="s">
        <v>233</v>
      </c>
      <c r="K60" s="14">
        <v>0</v>
      </c>
      <c r="L60" s="14" t="s">
        <v>1290</v>
      </c>
      <c r="M60" s="15" t="s">
        <v>1139</v>
      </c>
      <c r="P60" s="15" t="s">
        <v>194</v>
      </c>
      <c r="S60" s="14" t="s">
        <v>1110</v>
      </c>
    </row>
    <row r="61" spans="1:25" s="14" customFormat="1" hidden="1" x14ac:dyDescent="0.35">
      <c r="A61" s="14" t="s">
        <v>137</v>
      </c>
      <c r="B61" s="14" t="s">
        <v>1306</v>
      </c>
      <c r="C61" s="14" t="s">
        <v>1258</v>
      </c>
      <c r="D61" s="14" t="s">
        <v>1118</v>
      </c>
      <c r="E61" s="14" t="s">
        <v>147</v>
      </c>
      <c r="F61" s="14" t="s">
        <v>90</v>
      </c>
      <c r="G61" s="14" t="s">
        <v>1286</v>
      </c>
      <c r="H61" s="14" t="s">
        <v>232</v>
      </c>
      <c r="I61" s="14" t="s">
        <v>233</v>
      </c>
      <c r="J61" s="14" t="s">
        <v>233</v>
      </c>
      <c r="K61" s="14">
        <v>0</v>
      </c>
      <c r="L61" s="14" t="s">
        <v>234</v>
      </c>
      <c r="M61" s="15" t="s">
        <v>1291</v>
      </c>
      <c r="P61" s="15" t="s">
        <v>194</v>
      </c>
      <c r="S61" s="14" t="s">
        <v>1110</v>
      </c>
    </row>
    <row r="62" spans="1:25" s="14" customFormat="1" hidden="1" x14ac:dyDescent="0.35">
      <c r="A62" s="14" t="s">
        <v>137</v>
      </c>
      <c r="B62" s="14" t="s">
        <v>1307</v>
      </c>
      <c r="C62" s="14" t="s">
        <v>1258</v>
      </c>
      <c r="D62" s="14" t="s">
        <v>1118</v>
      </c>
      <c r="E62" s="14" t="s">
        <v>147</v>
      </c>
      <c r="F62" s="14" t="s">
        <v>90</v>
      </c>
      <c r="G62" s="14" t="s">
        <v>1286</v>
      </c>
      <c r="H62" s="14" t="s">
        <v>232</v>
      </c>
      <c r="I62" s="14" t="s">
        <v>233</v>
      </c>
      <c r="J62" s="14" t="s">
        <v>233</v>
      </c>
      <c r="K62" s="14">
        <v>0</v>
      </c>
      <c r="L62" s="14" t="s">
        <v>234</v>
      </c>
      <c r="M62" s="15" t="s">
        <v>1140</v>
      </c>
      <c r="P62" s="15" t="s">
        <v>194</v>
      </c>
      <c r="S62" s="14" t="s">
        <v>1110</v>
      </c>
    </row>
    <row r="63" spans="1:25" s="14" customFormat="1" hidden="1" x14ac:dyDescent="0.35">
      <c r="A63" s="14" t="s">
        <v>137</v>
      </c>
      <c r="B63" s="14" t="s">
        <v>1308</v>
      </c>
      <c r="C63" s="14" t="s">
        <v>1258</v>
      </c>
      <c r="D63" s="14" t="s">
        <v>1118</v>
      </c>
      <c r="E63" s="14" t="s">
        <v>147</v>
      </c>
      <c r="F63" s="14" t="s">
        <v>90</v>
      </c>
      <c r="G63" s="14" t="s">
        <v>1286</v>
      </c>
      <c r="H63" s="14" t="s">
        <v>232</v>
      </c>
      <c r="I63" s="14" t="s">
        <v>233</v>
      </c>
      <c r="J63" s="14" t="s">
        <v>233</v>
      </c>
      <c r="K63" s="14">
        <v>0</v>
      </c>
      <c r="L63" s="14" t="s">
        <v>234</v>
      </c>
      <c r="M63" s="15" t="s">
        <v>1140</v>
      </c>
      <c r="P63" s="15" t="s">
        <v>194</v>
      </c>
      <c r="S63" s="14" t="s">
        <v>1110</v>
      </c>
    </row>
    <row r="64" spans="1:25" s="14" customFormat="1" hidden="1" x14ac:dyDescent="0.35">
      <c r="A64" s="14" t="s">
        <v>137</v>
      </c>
      <c r="B64" s="14" t="s">
        <v>132</v>
      </c>
      <c r="C64" s="14" t="s">
        <v>1258</v>
      </c>
      <c r="D64" s="14" t="s">
        <v>1121</v>
      </c>
      <c r="E64" s="14" t="s">
        <v>147</v>
      </c>
      <c r="F64" s="14" t="s">
        <v>90</v>
      </c>
      <c r="P64" s="15" t="s">
        <v>194</v>
      </c>
      <c r="S64" s="14" t="s">
        <v>1110</v>
      </c>
      <c r="W64" s="14" t="s">
        <v>1148</v>
      </c>
      <c r="Y64" s="14" t="s">
        <v>1267</v>
      </c>
    </row>
    <row r="65" spans="1:25" s="14" customFormat="1" hidden="1" x14ac:dyDescent="0.35">
      <c r="A65" s="14" t="s">
        <v>137</v>
      </c>
      <c r="B65" s="14" t="s">
        <v>133</v>
      </c>
      <c r="C65" s="14" t="s">
        <v>1258</v>
      </c>
      <c r="D65" s="14" t="s">
        <v>1121</v>
      </c>
      <c r="E65" s="14" t="s">
        <v>147</v>
      </c>
      <c r="F65" s="14" t="s">
        <v>90</v>
      </c>
      <c r="P65" s="15" t="s">
        <v>194</v>
      </c>
      <c r="S65" s="14" t="s">
        <v>1110</v>
      </c>
      <c r="W65" s="14" t="s">
        <v>1148</v>
      </c>
      <c r="Y65" s="14" t="s">
        <v>1268</v>
      </c>
    </row>
    <row r="66" spans="1:25" s="14" customFormat="1" hidden="1" x14ac:dyDescent="0.35">
      <c r="A66" s="14" t="s">
        <v>137</v>
      </c>
      <c r="B66" s="14" t="s">
        <v>134</v>
      </c>
      <c r="C66" s="14" t="s">
        <v>1258</v>
      </c>
      <c r="D66" s="14" t="s">
        <v>1121</v>
      </c>
      <c r="E66" s="14" t="s">
        <v>147</v>
      </c>
      <c r="F66" s="14" t="s">
        <v>90</v>
      </c>
      <c r="P66" s="15" t="s">
        <v>194</v>
      </c>
      <c r="S66" s="14" t="s">
        <v>1110</v>
      </c>
      <c r="W66" s="14" t="s">
        <v>1148</v>
      </c>
      <c r="Y66" s="14" t="s">
        <v>1269</v>
      </c>
    </row>
    <row r="67" spans="1:25" s="14" customFormat="1" hidden="1" x14ac:dyDescent="0.35">
      <c r="A67" s="14" t="s">
        <v>137</v>
      </c>
      <c r="B67" s="14" t="s">
        <v>135</v>
      </c>
      <c r="C67" s="14" t="s">
        <v>1258</v>
      </c>
      <c r="D67" s="14" t="s">
        <v>1121</v>
      </c>
      <c r="E67" s="14" t="s">
        <v>147</v>
      </c>
      <c r="F67" s="14" t="s">
        <v>90</v>
      </c>
      <c r="P67" s="15" t="s">
        <v>194</v>
      </c>
      <c r="S67" s="14" t="s">
        <v>1110</v>
      </c>
      <c r="W67" s="14" t="s">
        <v>1148</v>
      </c>
      <c r="Y67" s="14" t="s">
        <v>1270</v>
      </c>
    </row>
    <row r="68" spans="1:25" s="14" customFormat="1" hidden="1" x14ac:dyDescent="0.35">
      <c r="A68" s="14" t="s">
        <v>137</v>
      </c>
      <c r="B68" s="14" t="s">
        <v>136</v>
      </c>
      <c r="C68" s="14" t="s">
        <v>1258</v>
      </c>
      <c r="D68" s="14" t="s">
        <v>1120</v>
      </c>
      <c r="E68" s="14" t="s">
        <v>147</v>
      </c>
      <c r="F68" s="14" t="s">
        <v>90</v>
      </c>
      <c r="P68" s="15" t="s">
        <v>194</v>
      </c>
      <c r="S68" s="14" t="s">
        <v>1110</v>
      </c>
    </row>
    <row r="69" spans="1:25" s="14" customFormat="1" hidden="1" x14ac:dyDescent="0.35">
      <c r="A69" s="14" t="s">
        <v>137</v>
      </c>
      <c r="B69" s="14" t="s">
        <v>1309</v>
      </c>
      <c r="C69" s="14" t="s">
        <v>1258</v>
      </c>
      <c r="D69" s="14" t="s">
        <v>1118</v>
      </c>
      <c r="E69" s="14" t="s">
        <v>147</v>
      </c>
      <c r="F69" s="14" t="s">
        <v>90</v>
      </c>
      <c r="G69" s="14" t="s">
        <v>1286</v>
      </c>
      <c r="H69" s="14" t="s">
        <v>232</v>
      </c>
      <c r="I69" s="14" t="s">
        <v>233</v>
      </c>
      <c r="J69" s="14" t="s">
        <v>233</v>
      </c>
      <c r="K69" s="14">
        <v>0</v>
      </c>
      <c r="L69" s="14" t="s">
        <v>234</v>
      </c>
      <c r="M69" s="15" t="s">
        <v>1139</v>
      </c>
      <c r="P69" s="15" t="s">
        <v>194</v>
      </c>
      <c r="S69" s="14" t="s">
        <v>1110</v>
      </c>
    </row>
    <row r="70" spans="1:25" s="14" customFormat="1" hidden="1" x14ac:dyDescent="0.35">
      <c r="A70" s="14" t="s">
        <v>137</v>
      </c>
      <c r="B70" s="14" t="s">
        <v>1310</v>
      </c>
      <c r="C70" s="14" t="s">
        <v>1258</v>
      </c>
      <c r="D70" s="14" t="s">
        <v>1118</v>
      </c>
      <c r="E70" s="14" t="s">
        <v>147</v>
      </c>
      <c r="F70" s="14" t="s">
        <v>90</v>
      </c>
      <c r="G70" s="14" t="s">
        <v>1286</v>
      </c>
      <c r="H70" s="14" t="s">
        <v>232</v>
      </c>
      <c r="I70" s="14" t="s">
        <v>233</v>
      </c>
      <c r="J70" s="14" t="s">
        <v>233</v>
      </c>
      <c r="K70" s="14">
        <v>0</v>
      </c>
      <c r="L70" s="14" t="s">
        <v>1287</v>
      </c>
      <c r="M70" s="15" t="s">
        <v>1139</v>
      </c>
      <c r="P70" s="15" t="s">
        <v>194</v>
      </c>
      <c r="S70" s="14" t="s">
        <v>1110</v>
      </c>
    </row>
    <row r="71" spans="1:25" s="14" customFormat="1" hidden="1" x14ac:dyDescent="0.35">
      <c r="A71" s="14" t="s">
        <v>137</v>
      </c>
      <c r="B71" s="14" t="s">
        <v>1311</v>
      </c>
      <c r="C71" s="14" t="s">
        <v>1258</v>
      </c>
      <c r="D71" s="14" t="s">
        <v>1118</v>
      </c>
      <c r="E71" s="14" t="s">
        <v>147</v>
      </c>
      <c r="F71" s="14" t="s">
        <v>90</v>
      </c>
      <c r="G71" s="14" t="s">
        <v>1286</v>
      </c>
      <c r="H71" s="14" t="s">
        <v>232</v>
      </c>
      <c r="I71" s="14" t="s">
        <v>233</v>
      </c>
      <c r="J71" s="14" t="s">
        <v>233</v>
      </c>
      <c r="K71" s="14">
        <v>0</v>
      </c>
      <c r="L71" s="14" t="s">
        <v>1288</v>
      </c>
      <c r="M71" s="15" t="s">
        <v>1139</v>
      </c>
      <c r="P71" s="15" t="s">
        <v>194</v>
      </c>
      <c r="S71" s="14" t="s">
        <v>1110</v>
      </c>
    </row>
    <row r="72" spans="1:25" s="14" customFormat="1" hidden="1" x14ac:dyDescent="0.35">
      <c r="A72" s="14" t="s">
        <v>137</v>
      </c>
      <c r="B72" s="14" t="s">
        <v>1312</v>
      </c>
      <c r="C72" s="14" t="s">
        <v>1258</v>
      </c>
      <c r="D72" s="14" t="s">
        <v>1118</v>
      </c>
      <c r="E72" s="14" t="s">
        <v>147</v>
      </c>
      <c r="F72" s="14" t="s">
        <v>90</v>
      </c>
      <c r="G72" s="14" t="s">
        <v>1286</v>
      </c>
      <c r="H72" s="14" t="s">
        <v>232</v>
      </c>
      <c r="I72" s="14" t="s">
        <v>233</v>
      </c>
      <c r="J72" s="14" t="s">
        <v>233</v>
      </c>
      <c r="K72" s="14">
        <v>0</v>
      </c>
      <c r="L72" s="14" t="s">
        <v>1289</v>
      </c>
      <c r="M72" s="15" t="s">
        <v>1139</v>
      </c>
      <c r="P72" s="15" t="s">
        <v>194</v>
      </c>
      <c r="S72" s="14" t="s">
        <v>1110</v>
      </c>
    </row>
    <row r="73" spans="1:25" s="14" customFormat="1" hidden="1" x14ac:dyDescent="0.35">
      <c r="A73" s="14" t="s">
        <v>137</v>
      </c>
      <c r="B73" s="14" t="s">
        <v>1313</v>
      </c>
      <c r="C73" s="14" t="s">
        <v>1258</v>
      </c>
      <c r="D73" s="14" t="s">
        <v>1118</v>
      </c>
      <c r="E73" s="14" t="s">
        <v>147</v>
      </c>
      <c r="F73" s="14" t="s">
        <v>90</v>
      </c>
      <c r="G73" s="14" t="s">
        <v>1286</v>
      </c>
      <c r="H73" s="14" t="s">
        <v>232</v>
      </c>
      <c r="I73" s="14" t="s">
        <v>233</v>
      </c>
      <c r="J73" s="14" t="s">
        <v>233</v>
      </c>
      <c r="K73" s="14">
        <v>0</v>
      </c>
      <c r="L73" s="14" t="s">
        <v>1290</v>
      </c>
      <c r="M73" s="15" t="s">
        <v>1139</v>
      </c>
      <c r="P73" s="15" t="s">
        <v>194</v>
      </c>
      <c r="S73" s="14" t="s">
        <v>1110</v>
      </c>
    </row>
    <row r="74" spans="1:25" s="14" customFormat="1" hidden="1" x14ac:dyDescent="0.35">
      <c r="A74" s="14" t="s">
        <v>137</v>
      </c>
      <c r="B74" s="14" t="s">
        <v>1314</v>
      </c>
      <c r="C74" s="14" t="s">
        <v>1258</v>
      </c>
      <c r="D74" s="14" t="s">
        <v>1118</v>
      </c>
      <c r="E74" s="14" t="s">
        <v>147</v>
      </c>
      <c r="F74" s="14" t="s">
        <v>90</v>
      </c>
      <c r="G74" s="14" t="s">
        <v>1286</v>
      </c>
      <c r="H74" s="14" t="s">
        <v>232</v>
      </c>
      <c r="I74" s="14" t="s">
        <v>233</v>
      </c>
      <c r="J74" s="14" t="s">
        <v>233</v>
      </c>
      <c r="K74" s="14">
        <v>0</v>
      </c>
      <c r="L74" s="14" t="s">
        <v>234</v>
      </c>
      <c r="M74" s="15" t="s">
        <v>1291</v>
      </c>
      <c r="P74" s="15" t="s">
        <v>194</v>
      </c>
      <c r="S74" s="14" t="s">
        <v>1110</v>
      </c>
    </row>
    <row r="75" spans="1:25" s="14" customFormat="1" hidden="1" x14ac:dyDescent="0.35">
      <c r="A75" s="14" t="s">
        <v>137</v>
      </c>
      <c r="B75" s="14" t="s">
        <v>1315</v>
      </c>
      <c r="C75" s="14" t="s">
        <v>1258</v>
      </c>
      <c r="D75" s="14" t="s">
        <v>1118</v>
      </c>
      <c r="E75" s="14" t="s">
        <v>147</v>
      </c>
      <c r="F75" s="14" t="s">
        <v>90</v>
      </c>
      <c r="G75" s="14" t="s">
        <v>1286</v>
      </c>
      <c r="H75" s="14" t="s">
        <v>232</v>
      </c>
      <c r="I75" s="14" t="s">
        <v>233</v>
      </c>
      <c r="J75" s="14" t="s">
        <v>233</v>
      </c>
      <c r="K75" s="14">
        <v>0</v>
      </c>
      <c r="L75" s="14" t="s">
        <v>234</v>
      </c>
      <c r="M75" s="15" t="s">
        <v>1140</v>
      </c>
      <c r="P75" s="15" t="s">
        <v>194</v>
      </c>
      <c r="S75" s="14" t="s">
        <v>1110</v>
      </c>
    </row>
    <row r="76" spans="1:25" s="14" customFormat="1" hidden="1" x14ac:dyDescent="0.35">
      <c r="A76" s="14" t="s">
        <v>137</v>
      </c>
      <c r="B76" s="14" t="s">
        <v>1316</v>
      </c>
      <c r="C76" s="14" t="s">
        <v>1258</v>
      </c>
      <c r="D76" s="14" t="s">
        <v>1118</v>
      </c>
      <c r="E76" s="14" t="s">
        <v>147</v>
      </c>
      <c r="F76" s="14" t="s">
        <v>90</v>
      </c>
      <c r="G76" s="14" t="s">
        <v>1286</v>
      </c>
      <c r="H76" s="14" t="s">
        <v>232</v>
      </c>
      <c r="I76" s="14" t="s">
        <v>233</v>
      </c>
      <c r="J76" s="14" t="s">
        <v>233</v>
      </c>
      <c r="K76" s="14">
        <v>0</v>
      </c>
      <c r="L76" s="14" t="s">
        <v>234</v>
      </c>
      <c r="M76" s="15" t="s">
        <v>1140</v>
      </c>
      <c r="P76" s="15" t="s">
        <v>194</v>
      </c>
      <c r="S76" s="14" t="s">
        <v>1110</v>
      </c>
    </row>
    <row r="77" spans="1:25" x14ac:dyDescent="0.35">
      <c r="A77" s="17" t="s">
        <v>144</v>
      </c>
      <c r="B77" s="17" t="s">
        <v>138</v>
      </c>
      <c r="C77" s="17" t="s">
        <v>1259</v>
      </c>
      <c r="D77" s="17" t="s">
        <v>1121</v>
      </c>
      <c r="E77" s="17" t="s">
        <v>147</v>
      </c>
      <c r="F77" t="s">
        <v>90</v>
      </c>
      <c r="G77" s="16" t="s">
        <v>1351</v>
      </c>
      <c r="H77" t="s">
        <v>232</v>
      </c>
      <c r="I77" t="s">
        <v>233</v>
      </c>
      <c r="J77" t="s">
        <v>233</v>
      </c>
      <c r="K77">
        <v>0</v>
      </c>
      <c r="L77" t="s">
        <v>234</v>
      </c>
      <c r="M77" s="1" t="s">
        <v>1291</v>
      </c>
      <c r="N77" t="s">
        <v>1125</v>
      </c>
      <c r="P77" s="1" t="s">
        <v>194</v>
      </c>
      <c r="S77" t="s">
        <v>1110</v>
      </c>
      <c r="W77" t="s">
        <v>1149</v>
      </c>
      <c r="Y77" t="s">
        <v>1271</v>
      </c>
    </row>
    <row r="78" spans="1:25" x14ac:dyDescent="0.35">
      <c r="A78" s="17" t="s">
        <v>144</v>
      </c>
      <c r="B78" s="17" t="s">
        <v>139</v>
      </c>
      <c r="C78" s="17" t="s">
        <v>1259</v>
      </c>
      <c r="D78" s="17" t="s">
        <v>1121</v>
      </c>
      <c r="E78" s="17" t="s">
        <v>147</v>
      </c>
      <c r="F78" t="s">
        <v>90</v>
      </c>
      <c r="G78" s="16" t="s">
        <v>1351</v>
      </c>
      <c r="H78" t="s">
        <v>232</v>
      </c>
      <c r="I78" t="s">
        <v>233</v>
      </c>
      <c r="J78" t="s">
        <v>233</v>
      </c>
      <c r="K78">
        <v>0</v>
      </c>
      <c r="L78" t="s">
        <v>234</v>
      </c>
      <c r="M78" s="1" t="s">
        <v>1291</v>
      </c>
      <c r="N78" t="s">
        <v>1125</v>
      </c>
      <c r="P78" s="1" t="s">
        <v>194</v>
      </c>
      <c r="S78" t="s">
        <v>1110</v>
      </c>
      <c r="W78" t="s">
        <v>1149</v>
      </c>
      <c r="Y78" t="s">
        <v>1271</v>
      </c>
    </row>
    <row r="79" spans="1:25" x14ac:dyDescent="0.35">
      <c r="A79" s="17" t="s">
        <v>144</v>
      </c>
      <c r="B79" s="17" t="s">
        <v>140</v>
      </c>
      <c r="C79" s="17" t="s">
        <v>1259</v>
      </c>
      <c r="D79" s="17" t="s">
        <v>1121</v>
      </c>
      <c r="E79" s="17" t="s">
        <v>147</v>
      </c>
      <c r="F79" t="s">
        <v>90</v>
      </c>
      <c r="G79" s="16" t="s">
        <v>1351</v>
      </c>
      <c r="H79" t="s">
        <v>232</v>
      </c>
      <c r="I79" t="s">
        <v>233</v>
      </c>
      <c r="J79" t="s">
        <v>233</v>
      </c>
      <c r="K79">
        <v>0</v>
      </c>
      <c r="L79" t="s">
        <v>234</v>
      </c>
      <c r="M79" s="1" t="s">
        <v>1291</v>
      </c>
      <c r="N79" t="s">
        <v>1125</v>
      </c>
      <c r="P79" s="1" t="s">
        <v>194</v>
      </c>
      <c r="S79" t="s">
        <v>1110</v>
      </c>
      <c r="W79" t="s">
        <v>1149</v>
      </c>
      <c r="Y79" t="s">
        <v>1271</v>
      </c>
    </row>
    <row r="80" spans="1:25" x14ac:dyDescent="0.35">
      <c r="A80" s="17" t="s">
        <v>144</v>
      </c>
      <c r="B80" s="17" t="s">
        <v>141</v>
      </c>
      <c r="C80" s="17" t="s">
        <v>1259</v>
      </c>
      <c r="D80" s="17" t="s">
        <v>1118</v>
      </c>
      <c r="E80" s="17" t="s">
        <v>147</v>
      </c>
      <c r="F80" t="s">
        <v>90</v>
      </c>
      <c r="G80" s="16" t="s">
        <v>1351</v>
      </c>
      <c r="H80" t="s">
        <v>232</v>
      </c>
      <c r="I80" t="s">
        <v>233</v>
      </c>
      <c r="J80" t="s">
        <v>233</v>
      </c>
      <c r="K80">
        <v>0</v>
      </c>
      <c r="L80" t="s">
        <v>234</v>
      </c>
      <c r="M80" s="1" t="s">
        <v>1139</v>
      </c>
      <c r="N80" t="s">
        <v>1125</v>
      </c>
      <c r="P80" s="1" t="s">
        <v>194</v>
      </c>
      <c r="S80" t="s">
        <v>1110</v>
      </c>
      <c r="W80" t="s">
        <v>1149</v>
      </c>
      <c r="Y80" t="s">
        <v>1272</v>
      </c>
    </row>
    <row r="81" spans="1:25" x14ac:dyDescent="0.35">
      <c r="A81" s="17" t="s">
        <v>144</v>
      </c>
      <c r="B81" s="17" t="s">
        <v>1317</v>
      </c>
      <c r="C81" s="17" t="s">
        <v>1259</v>
      </c>
      <c r="D81" s="17" t="s">
        <v>1118</v>
      </c>
      <c r="E81" s="17" t="s">
        <v>147</v>
      </c>
      <c r="F81" t="s">
        <v>90</v>
      </c>
      <c r="G81" s="16" t="s">
        <v>1351</v>
      </c>
      <c r="H81" t="s">
        <v>232</v>
      </c>
      <c r="I81" t="s">
        <v>233</v>
      </c>
      <c r="J81" t="s">
        <v>233</v>
      </c>
      <c r="K81">
        <v>0</v>
      </c>
      <c r="L81" t="s">
        <v>234</v>
      </c>
      <c r="M81" s="1" t="s">
        <v>1140</v>
      </c>
      <c r="N81" t="s">
        <v>1125</v>
      </c>
      <c r="P81" s="1" t="s">
        <v>194</v>
      </c>
      <c r="S81" t="s">
        <v>1110</v>
      </c>
      <c r="W81" t="s">
        <v>1149</v>
      </c>
      <c r="Y81" t="s">
        <v>1272</v>
      </c>
    </row>
    <row r="82" spans="1:25" x14ac:dyDescent="0.35">
      <c r="A82" s="17" t="s">
        <v>144</v>
      </c>
      <c r="B82" s="17" t="s">
        <v>1342</v>
      </c>
      <c r="C82" s="17" t="s">
        <v>1259</v>
      </c>
      <c r="D82" s="17" t="s">
        <v>1118</v>
      </c>
      <c r="E82" s="17" t="s">
        <v>147</v>
      </c>
      <c r="F82" t="s">
        <v>90</v>
      </c>
      <c r="G82" s="16" t="s">
        <v>1351</v>
      </c>
      <c r="H82" t="s">
        <v>232</v>
      </c>
      <c r="I82" t="s">
        <v>233</v>
      </c>
      <c r="J82" t="s">
        <v>233</v>
      </c>
      <c r="K82">
        <v>0</v>
      </c>
      <c r="L82" t="s">
        <v>234</v>
      </c>
      <c r="M82" s="1" t="s">
        <v>1140</v>
      </c>
      <c r="N82" t="s">
        <v>1125</v>
      </c>
      <c r="P82" s="1" t="s">
        <v>194</v>
      </c>
      <c r="S82" t="s">
        <v>1110</v>
      </c>
      <c r="W82" t="s">
        <v>1149</v>
      </c>
      <c r="Y82" t="s">
        <v>1272</v>
      </c>
    </row>
    <row r="83" spans="1:25" x14ac:dyDescent="0.35">
      <c r="A83" s="17" t="s">
        <v>144</v>
      </c>
      <c r="B83" s="17" t="s">
        <v>1352</v>
      </c>
      <c r="C83" s="17" t="s">
        <v>1259</v>
      </c>
      <c r="D83" s="17" t="s">
        <v>1118</v>
      </c>
      <c r="E83" s="17" t="s">
        <v>147</v>
      </c>
      <c r="F83" t="s">
        <v>90</v>
      </c>
      <c r="G83" s="16" t="s">
        <v>1351</v>
      </c>
      <c r="H83" t="s">
        <v>232</v>
      </c>
      <c r="I83" t="s">
        <v>233</v>
      </c>
      <c r="J83" t="s">
        <v>233</v>
      </c>
      <c r="K83">
        <v>0</v>
      </c>
      <c r="L83" t="s">
        <v>234</v>
      </c>
      <c r="M83" s="1" t="s">
        <v>1140</v>
      </c>
      <c r="N83" t="s">
        <v>1125</v>
      </c>
      <c r="P83" s="1" t="s">
        <v>194</v>
      </c>
      <c r="S83" t="s">
        <v>1110</v>
      </c>
      <c r="W83" t="s">
        <v>1149</v>
      </c>
      <c r="Y83" t="s">
        <v>1272</v>
      </c>
    </row>
    <row r="84" spans="1:25" x14ac:dyDescent="0.35">
      <c r="A84" s="17" t="s">
        <v>144</v>
      </c>
      <c r="B84" s="17" t="s">
        <v>1353</v>
      </c>
      <c r="C84" s="17" t="s">
        <v>1259</v>
      </c>
      <c r="D84" s="17" t="s">
        <v>1118</v>
      </c>
      <c r="E84" s="17" t="s">
        <v>147</v>
      </c>
      <c r="F84" t="s">
        <v>90</v>
      </c>
      <c r="G84" s="16" t="s">
        <v>1351</v>
      </c>
      <c r="H84" t="s">
        <v>232</v>
      </c>
      <c r="I84" t="s">
        <v>233</v>
      </c>
      <c r="J84" t="s">
        <v>233</v>
      </c>
      <c r="K84">
        <v>0</v>
      </c>
      <c r="L84" t="s">
        <v>234</v>
      </c>
      <c r="M84" s="1" t="s">
        <v>1140</v>
      </c>
      <c r="N84" t="s">
        <v>1125</v>
      </c>
      <c r="P84" s="1" t="s">
        <v>194</v>
      </c>
      <c r="S84" t="s">
        <v>1110</v>
      </c>
      <c r="W84" t="s">
        <v>1149</v>
      </c>
      <c r="Y84" t="s">
        <v>1272</v>
      </c>
    </row>
    <row r="85" spans="1:25" x14ac:dyDescent="0.35">
      <c r="A85" s="17" t="s">
        <v>144</v>
      </c>
      <c r="B85" s="17" t="s">
        <v>1354</v>
      </c>
      <c r="C85" s="17" t="s">
        <v>1259</v>
      </c>
      <c r="D85" s="17" t="s">
        <v>1118</v>
      </c>
      <c r="E85" s="17" t="s">
        <v>147</v>
      </c>
      <c r="F85" t="s">
        <v>90</v>
      </c>
      <c r="G85" s="16" t="s">
        <v>1351</v>
      </c>
      <c r="H85" t="s">
        <v>232</v>
      </c>
      <c r="I85" t="s">
        <v>233</v>
      </c>
      <c r="J85" t="s">
        <v>233</v>
      </c>
      <c r="K85">
        <v>0</v>
      </c>
      <c r="L85" t="s">
        <v>234</v>
      </c>
      <c r="M85" s="1" t="s">
        <v>1140</v>
      </c>
      <c r="N85" t="s">
        <v>1125</v>
      </c>
      <c r="P85" s="1" t="s">
        <v>194</v>
      </c>
      <c r="S85" t="s">
        <v>1110</v>
      </c>
      <c r="W85" t="s">
        <v>1149</v>
      </c>
      <c r="Y85" t="s">
        <v>1272</v>
      </c>
    </row>
    <row r="86" spans="1:25" x14ac:dyDescent="0.35">
      <c r="A86" s="17" t="s">
        <v>144</v>
      </c>
      <c r="B86" s="17" t="s">
        <v>1355</v>
      </c>
      <c r="C86" s="17" t="s">
        <v>1259</v>
      </c>
      <c r="D86" s="17" t="s">
        <v>1118</v>
      </c>
      <c r="E86" s="17" t="s">
        <v>147</v>
      </c>
      <c r="F86" t="s">
        <v>90</v>
      </c>
      <c r="G86" s="16" t="s">
        <v>1351</v>
      </c>
      <c r="H86" t="s">
        <v>232</v>
      </c>
      <c r="I86" t="s">
        <v>233</v>
      </c>
      <c r="J86" t="s">
        <v>233</v>
      </c>
      <c r="K86">
        <v>0</v>
      </c>
      <c r="L86" t="s">
        <v>234</v>
      </c>
      <c r="M86" s="1" t="s">
        <v>1140</v>
      </c>
      <c r="N86" t="s">
        <v>1125</v>
      </c>
      <c r="P86" s="1" t="s">
        <v>194</v>
      </c>
      <c r="S86" t="s">
        <v>1110</v>
      </c>
      <c r="W86" t="s">
        <v>1149</v>
      </c>
      <c r="Y86" t="s">
        <v>1272</v>
      </c>
    </row>
    <row r="87" spans="1:25" x14ac:dyDescent="0.35">
      <c r="A87" s="17" t="s">
        <v>144</v>
      </c>
      <c r="B87" s="17" t="s">
        <v>1318</v>
      </c>
      <c r="C87" s="17" t="s">
        <v>1259</v>
      </c>
      <c r="D87" s="17" t="s">
        <v>1118</v>
      </c>
      <c r="E87" s="17" t="s">
        <v>147</v>
      </c>
      <c r="F87" t="s">
        <v>90</v>
      </c>
      <c r="G87" s="16" t="s">
        <v>1351</v>
      </c>
      <c r="H87" t="s">
        <v>232</v>
      </c>
      <c r="I87" t="s">
        <v>233</v>
      </c>
      <c r="J87" t="s">
        <v>233</v>
      </c>
      <c r="K87">
        <v>0</v>
      </c>
      <c r="L87" t="s">
        <v>234</v>
      </c>
      <c r="M87" s="1" t="s">
        <v>1140</v>
      </c>
      <c r="N87" t="s">
        <v>1125</v>
      </c>
      <c r="P87" s="1" t="s">
        <v>194</v>
      </c>
      <c r="S87" t="s">
        <v>1110</v>
      </c>
      <c r="W87" t="s">
        <v>1149</v>
      </c>
      <c r="Y87" t="s">
        <v>1272</v>
      </c>
    </row>
    <row r="88" spans="1:25" x14ac:dyDescent="0.35">
      <c r="A88" s="17" t="s">
        <v>144</v>
      </c>
      <c r="B88" s="17" t="s">
        <v>1319</v>
      </c>
      <c r="C88" s="17" t="s">
        <v>1259</v>
      </c>
      <c r="D88" s="17" t="s">
        <v>1121</v>
      </c>
      <c r="E88" s="17" t="s">
        <v>147</v>
      </c>
      <c r="F88" t="s">
        <v>90</v>
      </c>
      <c r="G88" s="16" t="s">
        <v>1351</v>
      </c>
      <c r="H88" t="s">
        <v>232</v>
      </c>
      <c r="I88" t="s">
        <v>233</v>
      </c>
      <c r="J88" t="s">
        <v>233</v>
      </c>
      <c r="K88">
        <v>0</v>
      </c>
      <c r="L88" t="s">
        <v>234</v>
      </c>
      <c r="M88" s="1" t="s">
        <v>1139</v>
      </c>
      <c r="N88" t="s">
        <v>1125</v>
      </c>
      <c r="P88" s="1" t="s">
        <v>194</v>
      </c>
      <c r="S88" t="s">
        <v>1110</v>
      </c>
      <c r="W88" t="s">
        <v>1149</v>
      </c>
      <c r="Y88" t="s">
        <v>1272</v>
      </c>
    </row>
    <row r="89" spans="1:25" x14ac:dyDescent="0.35">
      <c r="A89" s="17" t="s">
        <v>144</v>
      </c>
      <c r="B89" s="17" t="s">
        <v>1320</v>
      </c>
      <c r="C89" s="17" t="s">
        <v>1259</v>
      </c>
      <c r="D89" s="17" t="s">
        <v>1121</v>
      </c>
      <c r="E89" s="17" t="s">
        <v>147</v>
      </c>
      <c r="F89" t="s">
        <v>90</v>
      </c>
      <c r="G89" s="16" t="s">
        <v>1351</v>
      </c>
      <c r="H89" t="s">
        <v>232</v>
      </c>
      <c r="I89" t="s">
        <v>233</v>
      </c>
      <c r="J89" t="s">
        <v>233</v>
      </c>
      <c r="K89">
        <v>0</v>
      </c>
      <c r="L89" t="s">
        <v>234</v>
      </c>
      <c r="M89" s="1" t="s">
        <v>1139</v>
      </c>
      <c r="N89" t="s">
        <v>1125</v>
      </c>
      <c r="P89" s="1" t="s">
        <v>194</v>
      </c>
      <c r="S89" t="s">
        <v>1110</v>
      </c>
      <c r="W89" t="s">
        <v>1149</v>
      </c>
      <c r="Y89" t="s">
        <v>1272</v>
      </c>
    </row>
    <row r="90" spans="1:25" x14ac:dyDescent="0.35">
      <c r="A90" s="17" t="s">
        <v>144</v>
      </c>
      <c r="B90" s="17" t="s">
        <v>1344</v>
      </c>
      <c r="C90" s="17" t="s">
        <v>1259</v>
      </c>
      <c r="D90" s="17" t="s">
        <v>1121</v>
      </c>
      <c r="E90" s="17" t="s">
        <v>147</v>
      </c>
      <c r="F90" t="s">
        <v>90</v>
      </c>
      <c r="G90" s="16" t="s">
        <v>1351</v>
      </c>
      <c r="H90" t="s">
        <v>232</v>
      </c>
      <c r="I90" t="s">
        <v>233</v>
      </c>
      <c r="J90" t="s">
        <v>233</v>
      </c>
      <c r="K90">
        <v>0</v>
      </c>
      <c r="L90" t="s">
        <v>234</v>
      </c>
      <c r="M90" s="1" t="s">
        <v>1291</v>
      </c>
      <c r="N90" t="s">
        <v>1125</v>
      </c>
      <c r="P90" s="1" t="s">
        <v>194</v>
      </c>
      <c r="S90" t="s">
        <v>1110</v>
      </c>
      <c r="W90" t="s">
        <v>1149</v>
      </c>
      <c r="Y90" t="s">
        <v>1350</v>
      </c>
    </row>
    <row r="91" spans="1:25" x14ac:dyDescent="0.35">
      <c r="A91" s="17" t="s">
        <v>144</v>
      </c>
      <c r="B91" s="17" t="s">
        <v>1345</v>
      </c>
      <c r="C91" s="17" t="s">
        <v>1259</v>
      </c>
      <c r="D91" s="17" t="s">
        <v>1121</v>
      </c>
      <c r="E91" s="17" t="s">
        <v>147</v>
      </c>
      <c r="F91" t="s">
        <v>90</v>
      </c>
      <c r="G91" s="16" t="s">
        <v>1351</v>
      </c>
      <c r="H91" t="s">
        <v>232</v>
      </c>
      <c r="I91" t="s">
        <v>233</v>
      </c>
      <c r="J91" t="s">
        <v>233</v>
      </c>
      <c r="K91">
        <v>0</v>
      </c>
      <c r="L91" t="s">
        <v>234</v>
      </c>
      <c r="M91" s="1" t="s">
        <v>1291</v>
      </c>
      <c r="N91" t="s">
        <v>1125</v>
      </c>
      <c r="P91" s="1" t="s">
        <v>194</v>
      </c>
      <c r="S91" t="s">
        <v>1110</v>
      </c>
      <c r="W91" t="s">
        <v>1149</v>
      </c>
      <c r="Y91" t="s">
        <v>1350</v>
      </c>
    </row>
    <row r="92" spans="1:25" x14ac:dyDescent="0.35">
      <c r="A92" s="17" t="s">
        <v>144</v>
      </c>
      <c r="B92" s="17" t="s">
        <v>1321</v>
      </c>
      <c r="C92" s="17" t="s">
        <v>1259</v>
      </c>
      <c r="D92" s="17" t="s">
        <v>1121</v>
      </c>
      <c r="E92" s="17" t="s">
        <v>147</v>
      </c>
      <c r="F92" t="s">
        <v>90</v>
      </c>
      <c r="G92" s="16" t="s">
        <v>1351</v>
      </c>
      <c r="H92" t="s">
        <v>232</v>
      </c>
      <c r="I92" t="s">
        <v>233</v>
      </c>
      <c r="J92" t="s">
        <v>233</v>
      </c>
      <c r="K92">
        <v>0</v>
      </c>
      <c r="L92" t="s">
        <v>234</v>
      </c>
      <c r="M92" s="1" t="s">
        <v>1291</v>
      </c>
      <c r="N92" t="s">
        <v>1125</v>
      </c>
      <c r="P92" s="1" t="s">
        <v>194</v>
      </c>
      <c r="S92" t="s">
        <v>1110</v>
      </c>
      <c r="W92" t="s">
        <v>1149</v>
      </c>
      <c r="Y92" t="s">
        <v>1350</v>
      </c>
    </row>
    <row r="93" spans="1:25" x14ac:dyDescent="0.35">
      <c r="A93" s="17" t="s">
        <v>144</v>
      </c>
      <c r="B93" s="17" t="s">
        <v>1322</v>
      </c>
      <c r="C93" s="17" t="s">
        <v>1259</v>
      </c>
      <c r="D93" s="17" t="s">
        <v>1121</v>
      </c>
      <c r="E93" s="17" t="s">
        <v>147</v>
      </c>
      <c r="F93" t="s">
        <v>90</v>
      </c>
      <c r="G93" s="16" t="s">
        <v>1351</v>
      </c>
      <c r="H93" t="s">
        <v>232</v>
      </c>
      <c r="I93" t="s">
        <v>233</v>
      </c>
      <c r="J93" t="s">
        <v>233</v>
      </c>
      <c r="K93">
        <v>0</v>
      </c>
      <c r="L93" t="s">
        <v>234</v>
      </c>
      <c r="M93" s="1" t="s">
        <v>1291</v>
      </c>
      <c r="N93" t="s">
        <v>1125</v>
      </c>
      <c r="P93" s="1" t="s">
        <v>194</v>
      </c>
      <c r="S93" t="s">
        <v>1110</v>
      </c>
      <c r="W93" t="s">
        <v>1149</v>
      </c>
      <c r="Y93" t="s">
        <v>1350</v>
      </c>
    </row>
    <row r="94" spans="1:25" x14ac:dyDescent="0.35">
      <c r="A94" s="17" t="s">
        <v>144</v>
      </c>
      <c r="B94" s="17" t="s">
        <v>1323</v>
      </c>
      <c r="C94" s="17" t="s">
        <v>1259</v>
      </c>
      <c r="D94" s="17" t="s">
        <v>1121</v>
      </c>
      <c r="E94" s="17" t="s">
        <v>147</v>
      </c>
      <c r="F94" t="s">
        <v>90</v>
      </c>
      <c r="G94" s="16" t="s">
        <v>1351</v>
      </c>
      <c r="H94" t="s">
        <v>232</v>
      </c>
      <c r="I94" t="s">
        <v>233</v>
      </c>
      <c r="J94" t="s">
        <v>233</v>
      </c>
      <c r="K94">
        <v>0</v>
      </c>
      <c r="L94" t="s">
        <v>234</v>
      </c>
      <c r="M94" s="1" t="s">
        <v>1291</v>
      </c>
      <c r="N94" t="s">
        <v>1125</v>
      </c>
      <c r="P94" s="1" t="s">
        <v>194</v>
      </c>
      <c r="S94" t="s">
        <v>1110</v>
      </c>
      <c r="W94" t="s">
        <v>1149</v>
      </c>
      <c r="Y94" t="s">
        <v>1350</v>
      </c>
    </row>
    <row r="95" spans="1:25" x14ac:dyDescent="0.35">
      <c r="A95" s="17" t="s">
        <v>144</v>
      </c>
      <c r="B95" s="17" t="s">
        <v>1324</v>
      </c>
      <c r="C95" s="17" t="s">
        <v>1259</v>
      </c>
      <c r="D95" s="17" t="s">
        <v>1121</v>
      </c>
      <c r="E95" s="17" t="s">
        <v>147</v>
      </c>
      <c r="F95" t="s">
        <v>90</v>
      </c>
      <c r="G95" s="16" t="s">
        <v>1351</v>
      </c>
      <c r="H95" t="s">
        <v>232</v>
      </c>
      <c r="I95" t="s">
        <v>233</v>
      </c>
      <c r="J95" t="s">
        <v>233</v>
      </c>
      <c r="K95">
        <v>0</v>
      </c>
      <c r="L95" t="s">
        <v>234</v>
      </c>
      <c r="M95" s="1" t="s">
        <v>1291</v>
      </c>
      <c r="N95" t="s">
        <v>1125</v>
      </c>
      <c r="P95" s="1" t="s">
        <v>194</v>
      </c>
      <c r="S95" t="s">
        <v>1110</v>
      </c>
      <c r="W95" t="s">
        <v>1149</v>
      </c>
      <c r="Y95" t="s">
        <v>1350</v>
      </c>
    </row>
    <row r="96" spans="1:25" x14ac:dyDescent="0.35">
      <c r="A96" s="17" t="s">
        <v>144</v>
      </c>
      <c r="B96" s="17" t="s">
        <v>1325</v>
      </c>
      <c r="C96" s="17" t="s">
        <v>1259</v>
      </c>
      <c r="D96" s="17" t="s">
        <v>1121</v>
      </c>
      <c r="E96" s="17" t="s">
        <v>147</v>
      </c>
      <c r="F96" t="s">
        <v>90</v>
      </c>
      <c r="G96" s="16" t="s">
        <v>1351</v>
      </c>
      <c r="H96" t="s">
        <v>232</v>
      </c>
      <c r="I96" t="s">
        <v>233</v>
      </c>
      <c r="J96" t="s">
        <v>233</v>
      </c>
      <c r="K96">
        <v>0</v>
      </c>
      <c r="L96" t="s">
        <v>234</v>
      </c>
      <c r="M96" s="1" t="s">
        <v>1291</v>
      </c>
      <c r="N96" t="s">
        <v>1125</v>
      </c>
      <c r="P96" s="1" t="s">
        <v>194</v>
      </c>
      <c r="S96" t="s">
        <v>1110</v>
      </c>
      <c r="W96" t="s">
        <v>1149</v>
      </c>
      <c r="Y96" t="s">
        <v>1350</v>
      </c>
    </row>
    <row r="97" spans="1:25" x14ac:dyDescent="0.35">
      <c r="A97" s="17" t="s">
        <v>144</v>
      </c>
      <c r="B97" s="17" t="s">
        <v>1326</v>
      </c>
      <c r="C97" s="17" t="s">
        <v>1259</v>
      </c>
      <c r="D97" s="17" t="s">
        <v>1121</v>
      </c>
      <c r="E97" s="17" t="s">
        <v>147</v>
      </c>
      <c r="F97" t="s">
        <v>90</v>
      </c>
      <c r="G97" s="16" t="s">
        <v>1351</v>
      </c>
      <c r="H97" t="s">
        <v>232</v>
      </c>
      <c r="I97" t="s">
        <v>233</v>
      </c>
      <c r="J97" t="s">
        <v>233</v>
      </c>
      <c r="K97">
        <v>0</v>
      </c>
      <c r="L97" t="s">
        <v>234</v>
      </c>
      <c r="M97" s="1" t="s">
        <v>1291</v>
      </c>
      <c r="N97" t="s">
        <v>1125</v>
      </c>
      <c r="P97" s="1" t="s">
        <v>194</v>
      </c>
      <c r="S97" t="s">
        <v>1110</v>
      </c>
      <c r="W97" t="s">
        <v>1149</v>
      </c>
      <c r="Y97" t="s">
        <v>1350</v>
      </c>
    </row>
    <row r="98" spans="1:25" x14ac:dyDescent="0.35">
      <c r="A98" s="17" t="s">
        <v>144</v>
      </c>
      <c r="B98" s="17" t="s">
        <v>1327</v>
      </c>
      <c r="C98" s="17" t="s">
        <v>1259</v>
      </c>
      <c r="D98" s="17" t="s">
        <v>1121</v>
      </c>
      <c r="E98" s="17" t="s">
        <v>147</v>
      </c>
      <c r="F98" t="s">
        <v>90</v>
      </c>
      <c r="G98" s="16" t="s">
        <v>1351</v>
      </c>
      <c r="H98" t="s">
        <v>232</v>
      </c>
      <c r="I98" t="s">
        <v>233</v>
      </c>
      <c r="J98" t="s">
        <v>233</v>
      </c>
      <c r="K98">
        <v>0</v>
      </c>
      <c r="L98" t="s">
        <v>234</v>
      </c>
      <c r="M98" s="1" t="s">
        <v>1291</v>
      </c>
      <c r="N98" t="s">
        <v>1125</v>
      </c>
      <c r="P98" s="1" t="s">
        <v>194</v>
      </c>
      <c r="S98" t="s">
        <v>1110</v>
      </c>
      <c r="W98" t="s">
        <v>1149</v>
      </c>
      <c r="Y98" t="s">
        <v>1350</v>
      </c>
    </row>
    <row r="99" spans="1:25" x14ac:dyDescent="0.35">
      <c r="A99" s="17" t="s">
        <v>144</v>
      </c>
      <c r="B99" s="17" t="s">
        <v>1328</v>
      </c>
      <c r="C99" s="17" t="s">
        <v>1259</v>
      </c>
      <c r="D99" s="17" t="s">
        <v>1121</v>
      </c>
      <c r="E99" s="17" t="s">
        <v>147</v>
      </c>
      <c r="F99" t="s">
        <v>90</v>
      </c>
      <c r="G99" s="16" t="s">
        <v>1351</v>
      </c>
      <c r="H99" t="s">
        <v>232</v>
      </c>
      <c r="I99" t="s">
        <v>233</v>
      </c>
      <c r="J99" t="s">
        <v>233</v>
      </c>
      <c r="K99">
        <v>0</v>
      </c>
      <c r="L99" t="s">
        <v>234</v>
      </c>
      <c r="M99" s="1" t="s">
        <v>1291</v>
      </c>
      <c r="N99" t="s">
        <v>1125</v>
      </c>
      <c r="P99" s="1" t="s">
        <v>194</v>
      </c>
      <c r="S99" t="s">
        <v>1110</v>
      </c>
      <c r="W99" t="s">
        <v>1149</v>
      </c>
      <c r="Y99" t="s">
        <v>1350</v>
      </c>
    </row>
    <row r="100" spans="1:25" x14ac:dyDescent="0.35">
      <c r="A100" s="17" t="s">
        <v>144</v>
      </c>
      <c r="B100" s="17" t="s">
        <v>1358</v>
      </c>
      <c r="C100" s="17" t="s">
        <v>1259</v>
      </c>
      <c r="D100" s="17" t="s">
        <v>1121</v>
      </c>
      <c r="E100" s="17" t="s">
        <v>147</v>
      </c>
      <c r="F100" t="s">
        <v>90</v>
      </c>
      <c r="G100" s="16" t="s">
        <v>1351</v>
      </c>
      <c r="H100" t="s">
        <v>232</v>
      </c>
      <c r="I100" t="s">
        <v>233</v>
      </c>
      <c r="J100" t="s">
        <v>233</v>
      </c>
      <c r="K100">
        <v>0</v>
      </c>
      <c r="L100" t="s">
        <v>234</v>
      </c>
      <c r="M100" s="1" t="s">
        <v>1291</v>
      </c>
      <c r="N100" t="s">
        <v>1125</v>
      </c>
      <c r="P100" s="1" t="s">
        <v>194</v>
      </c>
      <c r="S100" t="s">
        <v>1110</v>
      </c>
      <c r="W100" t="s">
        <v>1149</v>
      </c>
      <c r="Y100" t="s">
        <v>1350</v>
      </c>
    </row>
    <row r="101" spans="1:25" x14ac:dyDescent="0.35">
      <c r="A101" s="17" t="s">
        <v>144</v>
      </c>
      <c r="B101" s="17" t="s">
        <v>1329</v>
      </c>
      <c r="C101" s="17" t="s">
        <v>1259</v>
      </c>
      <c r="D101" s="17" t="s">
        <v>1121</v>
      </c>
      <c r="E101" s="17" t="s">
        <v>147</v>
      </c>
      <c r="F101" t="s">
        <v>90</v>
      </c>
      <c r="G101" s="16" t="s">
        <v>1351</v>
      </c>
      <c r="H101" t="s">
        <v>232</v>
      </c>
      <c r="I101" t="s">
        <v>233</v>
      </c>
      <c r="J101" t="s">
        <v>233</v>
      </c>
      <c r="K101">
        <v>0</v>
      </c>
      <c r="L101" t="s">
        <v>234</v>
      </c>
      <c r="M101" s="1" t="s">
        <v>1291</v>
      </c>
      <c r="N101" t="s">
        <v>1125</v>
      </c>
      <c r="P101" s="1" t="s">
        <v>194</v>
      </c>
      <c r="S101" t="s">
        <v>1110</v>
      </c>
      <c r="W101" t="s">
        <v>1149</v>
      </c>
      <c r="Y101" t="s">
        <v>1350</v>
      </c>
    </row>
    <row r="102" spans="1:25" x14ac:dyDescent="0.35">
      <c r="A102" s="17" t="s">
        <v>144</v>
      </c>
      <c r="B102" s="17" t="s">
        <v>1330</v>
      </c>
      <c r="C102" s="17" t="s">
        <v>1259</v>
      </c>
      <c r="D102" s="17" t="s">
        <v>1121</v>
      </c>
      <c r="E102" s="17" t="s">
        <v>147</v>
      </c>
      <c r="F102" t="s">
        <v>90</v>
      </c>
      <c r="G102" s="16" t="s">
        <v>1351</v>
      </c>
      <c r="H102" t="s">
        <v>232</v>
      </c>
      <c r="I102" t="s">
        <v>233</v>
      </c>
      <c r="J102" t="s">
        <v>233</v>
      </c>
      <c r="K102">
        <v>0</v>
      </c>
      <c r="L102" t="s">
        <v>234</v>
      </c>
      <c r="M102" s="1" t="s">
        <v>1291</v>
      </c>
      <c r="N102" t="s">
        <v>1125</v>
      </c>
      <c r="P102" s="1" t="s">
        <v>194</v>
      </c>
      <c r="S102" t="s">
        <v>1110</v>
      </c>
      <c r="W102" t="s">
        <v>1149</v>
      </c>
      <c r="Y102" t="s">
        <v>1350</v>
      </c>
    </row>
    <row r="103" spans="1:25" x14ac:dyDescent="0.35">
      <c r="A103" s="17" t="s">
        <v>144</v>
      </c>
      <c r="B103" s="17" t="s">
        <v>1356</v>
      </c>
      <c r="C103" s="17" t="s">
        <v>1259</v>
      </c>
      <c r="D103" s="17" t="s">
        <v>1121</v>
      </c>
      <c r="E103" s="17" t="s">
        <v>147</v>
      </c>
      <c r="F103" t="s">
        <v>90</v>
      </c>
      <c r="G103" s="16" t="s">
        <v>1351</v>
      </c>
      <c r="H103" t="s">
        <v>232</v>
      </c>
      <c r="I103" t="s">
        <v>233</v>
      </c>
      <c r="J103" t="s">
        <v>233</v>
      </c>
      <c r="K103">
        <v>0</v>
      </c>
      <c r="L103" t="s">
        <v>234</v>
      </c>
      <c r="M103" s="1" t="s">
        <v>1291</v>
      </c>
      <c r="N103" t="s">
        <v>1125</v>
      </c>
      <c r="P103" s="1" t="s">
        <v>194</v>
      </c>
      <c r="S103" t="s">
        <v>1110</v>
      </c>
      <c r="W103" t="s">
        <v>1149</v>
      </c>
      <c r="Y103" t="s">
        <v>1350</v>
      </c>
    </row>
    <row r="104" spans="1:25" x14ac:dyDescent="0.35">
      <c r="A104" s="17" t="s">
        <v>144</v>
      </c>
      <c r="B104" s="17" t="s">
        <v>1357</v>
      </c>
      <c r="C104" s="17" t="s">
        <v>1259</v>
      </c>
      <c r="D104" s="17" t="s">
        <v>1121</v>
      </c>
      <c r="E104" s="17" t="s">
        <v>147</v>
      </c>
      <c r="F104" t="s">
        <v>90</v>
      </c>
      <c r="G104" s="16" t="s">
        <v>1351</v>
      </c>
      <c r="H104" t="s">
        <v>232</v>
      </c>
      <c r="I104" t="s">
        <v>233</v>
      </c>
      <c r="J104" t="s">
        <v>233</v>
      </c>
      <c r="K104">
        <v>0</v>
      </c>
      <c r="L104" t="s">
        <v>234</v>
      </c>
      <c r="M104" s="1" t="s">
        <v>1291</v>
      </c>
      <c r="N104" t="s">
        <v>1125</v>
      </c>
      <c r="P104" s="1" t="s">
        <v>194</v>
      </c>
      <c r="S104" t="s">
        <v>1110</v>
      </c>
      <c r="W104" t="s">
        <v>1149</v>
      </c>
      <c r="Y104" t="s">
        <v>1350</v>
      </c>
    </row>
    <row r="105" spans="1:25" x14ac:dyDescent="0.35">
      <c r="A105" s="17" t="s">
        <v>144</v>
      </c>
      <c r="B105" s="17" t="s">
        <v>1359</v>
      </c>
      <c r="C105" s="17" t="s">
        <v>1259</v>
      </c>
      <c r="D105" s="17" t="s">
        <v>1121</v>
      </c>
      <c r="E105" s="17" t="s">
        <v>147</v>
      </c>
      <c r="F105" t="s">
        <v>90</v>
      </c>
      <c r="G105" s="16" t="s">
        <v>1351</v>
      </c>
      <c r="H105" t="s">
        <v>232</v>
      </c>
      <c r="I105" t="s">
        <v>233</v>
      </c>
      <c r="J105" t="s">
        <v>233</v>
      </c>
      <c r="K105">
        <v>0</v>
      </c>
      <c r="L105" t="s">
        <v>234</v>
      </c>
      <c r="M105" s="1" t="s">
        <v>1291</v>
      </c>
      <c r="N105" t="s">
        <v>1125</v>
      </c>
      <c r="P105" s="1" t="s">
        <v>194</v>
      </c>
      <c r="S105" t="s">
        <v>1110</v>
      </c>
      <c r="W105" t="s">
        <v>1149</v>
      </c>
      <c r="Y105" t="s">
        <v>1350</v>
      </c>
    </row>
    <row r="106" spans="1:25" x14ac:dyDescent="0.35">
      <c r="A106" s="17" t="s">
        <v>144</v>
      </c>
      <c r="B106" s="17" t="s">
        <v>1331</v>
      </c>
      <c r="C106" s="17" t="s">
        <v>1259</v>
      </c>
      <c r="D106" s="17" t="s">
        <v>1121</v>
      </c>
      <c r="E106" s="17" t="s">
        <v>147</v>
      </c>
      <c r="F106" t="s">
        <v>90</v>
      </c>
      <c r="G106" s="16" t="s">
        <v>1351</v>
      </c>
      <c r="H106" t="s">
        <v>232</v>
      </c>
      <c r="I106" t="s">
        <v>233</v>
      </c>
      <c r="J106" t="s">
        <v>233</v>
      </c>
      <c r="K106">
        <v>0</v>
      </c>
      <c r="L106" t="s">
        <v>234</v>
      </c>
      <c r="M106" s="1" t="s">
        <v>1291</v>
      </c>
      <c r="N106" t="s">
        <v>1125</v>
      </c>
      <c r="P106" s="1" t="s">
        <v>194</v>
      </c>
      <c r="S106" t="s">
        <v>1110</v>
      </c>
      <c r="W106" t="s">
        <v>1149</v>
      </c>
      <c r="Y106" t="s">
        <v>1350</v>
      </c>
    </row>
    <row r="107" spans="1:25" x14ac:dyDescent="0.35">
      <c r="A107" s="17" t="s">
        <v>144</v>
      </c>
      <c r="B107" s="17" t="s">
        <v>1332</v>
      </c>
      <c r="C107" s="17" t="s">
        <v>1259</v>
      </c>
      <c r="D107" s="17" t="s">
        <v>1121</v>
      </c>
      <c r="E107" s="17" t="s">
        <v>147</v>
      </c>
      <c r="F107" t="s">
        <v>90</v>
      </c>
      <c r="G107" s="16" t="s">
        <v>1351</v>
      </c>
      <c r="H107" t="s">
        <v>232</v>
      </c>
      <c r="I107" t="s">
        <v>233</v>
      </c>
      <c r="J107" t="s">
        <v>233</v>
      </c>
      <c r="K107">
        <v>0</v>
      </c>
      <c r="L107" t="s">
        <v>234</v>
      </c>
      <c r="M107" s="1" t="s">
        <v>1291</v>
      </c>
      <c r="N107" t="s">
        <v>1125</v>
      </c>
      <c r="P107" s="1" t="s">
        <v>194</v>
      </c>
      <c r="S107" t="s">
        <v>1110</v>
      </c>
      <c r="W107" t="s">
        <v>1149</v>
      </c>
      <c r="Y107" t="s">
        <v>1350</v>
      </c>
    </row>
    <row r="108" spans="1:25" x14ac:dyDescent="0.35">
      <c r="A108" s="17" t="s">
        <v>144</v>
      </c>
      <c r="B108" s="17" t="s">
        <v>1333</v>
      </c>
      <c r="C108" s="17" t="s">
        <v>1259</v>
      </c>
      <c r="D108" s="17" t="s">
        <v>1121</v>
      </c>
      <c r="E108" s="17" t="s">
        <v>147</v>
      </c>
      <c r="F108" t="s">
        <v>90</v>
      </c>
      <c r="G108" s="16" t="s">
        <v>1351</v>
      </c>
      <c r="H108" t="s">
        <v>232</v>
      </c>
      <c r="I108" t="s">
        <v>233</v>
      </c>
      <c r="J108" t="s">
        <v>233</v>
      </c>
      <c r="K108">
        <v>0</v>
      </c>
      <c r="L108" t="s">
        <v>234</v>
      </c>
      <c r="M108" s="1" t="s">
        <v>1291</v>
      </c>
      <c r="N108" t="s">
        <v>1125</v>
      </c>
      <c r="P108" s="1" t="s">
        <v>194</v>
      </c>
      <c r="S108" t="s">
        <v>1110</v>
      </c>
      <c r="W108" t="s">
        <v>1149</v>
      </c>
      <c r="Y108" t="s">
        <v>1350</v>
      </c>
    </row>
    <row r="109" spans="1:25" x14ac:dyDescent="0.35">
      <c r="A109" s="17" t="s">
        <v>144</v>
      </c>
      <c r="B109" s="17" t="s">
        <v>1334</v>
      </c>
      <c r="C109" s="17" t="s">
        <v>1259</v>
      </c>
      <c r="D109" s="17" t="s">
        <v>1121</v>
      </c>
      <c r="E109" s="17" t="s">
        <v>147</v>
      </c>
      <c r="F109" t="s">
        <v>90</v>
      </c>
      <c r="G109" s="16" t="s">
        <v>1351</v>
      </c>
      <c r="H109" t="s">
        <v>232</v>
      </c>
      <c r="I109" t="s">
        <v>233</v>
      </c>
      <c r="J109" t="s">
        <v>233</v>
      </c>
      <c r="K109">
        <v>0</v>
      </c>
      <c r="L109" t="s">
        <v>234</v>
      </c>
      <c r="M109" s="1" t="s">
        <v>1291</v>
      </c>
      <c r="N109" t="s">
        <v>1125</v>
      </c>
      <c r="P109" s="1" t="s">
        <v>194</v>
      </c>
      <c r="S109" t="s">
        <v>1110</v>
      </c>
      <c r="W109" t="s">
        <v>1149</v>
      </c>
      <c r="Y109" t="s">
        <v>1350</v>
      </c>
    </row>
    <row r="110" spans="1:25" x14ac:dyDescent="0.35">
      <c r="A110" s="17" t="s">
        <v>144</v>
      </c>
      <c r="B110" s="17" t="s">
        <v>1335</v>
      </c>
      <c r="C110" s="17" t="s">
        <v>1259</v>
      </c>
      <c r="D110" s="17" t="s">
        <v>1121</v>
      </c>
      <c r="E110" s="17" t="s">
        <v>147</v>
      </c>
      <c r="F110" t="s">
        <v>90</v>
      </c>
      <c r="G110" s="16" t="s">
        <v>1351</v>
      </c>
      <c r="H110" t="s">
        <v>232</v>
      </c>
      <c r="I110" t="s">
        <v>233</v>
      </c>
      <c r="J110" t="s">
        <v>233</v>
      </c>
      <c r="K110">
        <v>0</v>
      </c>
      <c r="L110" t="s">
        <v>234</v>
      </c>
      <c r="M110" s="1" t="s">
        <v>1291</v>
      </c>
      <c r="N110" t="s">
        <v>1125</v>
      </c>
      <c r="P110" s="1" t="s">
        <v>194</v>
      </c>
      <c r="S110" t="s">
        <v>1110</v>
      </c>
      <c r="W110" t="s">
        <v>1149</v>
      </c>
      <c r="Y110" t="s">
        <v>1350</v>
      </c>
    </row>
    <row r="111" spans="1:25" x14ac:dyDescent="0.35">
      <c r="A111" s="17" t="s">
        <v>144</v>
      </c>
      <c r="B111" s="17" t="s">
        <v>1336</v>
      </c>
      <c r="C111" s="17" t="s">
        <v>1259</v>
      </c>
      <c r="D111" s="17" t="s">
        <v>1121</v>
      </c>
      <c r="E111" s="17" t="s">
        <v>147</v>
      </c>
      <c r="F111" t="s">
        <v>90</v>
      </c>
      <c r="G111" s="16" t="s">
        <v>1351</v>
      </c>
      <c r="H111" t="s">
        <v>232</v>
      </c>
      <c r="I111" t="s">
        <v>233</v>
      </c>
      <c r="J111" t="s">
        <v>233</v>
      </c>
      <c r="K111">
        <v>0</v>
      </c>
      <c r="L111" t="s">
        <v>234</v>
      </c>
      <c r="M111" s="1" t="s">
        <v>1291</v>
      </c>
      <c r="N111" t="s">
        <v>1125</v>
      </c>
      <c r="P111" s="1" t="s">
        <v>194</v>
      </c>
      <c r="S111" t="s">
        <v>1110</v>
      </c>
      <c r="W111" t="s">
        <v>1149</v>
      </c>
      <c r="Y111" t="s">
        <v>1350</v>
      </c>
    </row>
    <row r="112" spans="1:25" x14ac:dyDescent="0.35">
      <c r="A112" s="17" t="s">
        <v>144</v>
      </c>
      <c r="B112" s="17" t="s">
        <v>1337</v>
      </c>
      <c r="C112" s="17" t="s">
        <v>1259</v>
      </c>
      <c r="D112" s="17" t="s">
        <v>1121</v>
      </c>
      <c r="E112" s="17" t="s">
        <v>147</v>
      </c>
      <c r="F112" t="s">
        <v>90</v>
      </c>
      <c r="G112" s="16" t="s">
        <v>1351</v>
      </c>
      <c r="H112" t="s">
        <v>232</v>
      </c>
      <c r="I112" t="s">
        <v>233</v>
      </c>
      <c r="J112" t="s">
        <v>233</v>
      </c>
      <c r="K112">
        <v>0</v>
      </c>
      <c r="L112" t="s">
        <v>234</v>
      </c>
      <c r="M112" s="1" t="s">
        <v>1291</v>
      </c>
      <c r="N112" t="s">
        <v>1125</v>
      </c>
      <c r="P112" s="1" t="s">
        <v>194</v>
      </c>
      <c r="S112" t="s">
        <v>1110</v>
      </c>
      <c r="W112" t="s">
        <v>1149</v>
      </c>
      <c r="Y112" t="s">
        <v>1350</v>
      </c>
    </row>
    <row r="113" spans="1:25" x14ac:dyDescent="0.35">
      <c r="A113" s="17" t="s">
        <v>144</v>
      </c>
      <c r="B113" s="17" t="s">
        <v>1338</v>
      </c>
      <c r="C113" s="17" t="s">
        <v>1259</v>
      </c>
      <c r="D113" s="17" t="s">
        <v>1121</v>
      </c>
      <c r="E113" s="17" t="s">
        <v>147</v>
      </c>
      <c r="F113" t="s">
        <v>90</v>
      </c>
      <c r="G113" s="16" t="s">
        <v>1351</v>
      </c>
      <c r="H113" t="s">
        <v>232</v>
      </c>
      <c r="I113" t="s">
        <v>233</v>
      </c>
      <c r="J113" t="s">
        <v>233</v>
      </c>
      <c r="K113">
        <v>0</v>
      </c>
      <c r="L113" t="s">
        <v>234</v>
      </c>
      <c r="M113" s="1" t="s">
        <v>1291</v>
      </c>
      <c r="N113" t="s">
        <v>1125</v>
      </c>
      <c r="P113" s="1" t="s">
        <v>194</v>
      </c>
      <c r="S113" t="s">
        <v>1110</v>
      </c>
      <c r="W113" t="s">
        <v>1149</v>
      </c>
      <c r="Y113" t="s">
        <v>1350</v>
      </c>
    </row>
    <row r="114" spans="1:25" x14ac:dyDescent="0.35">
      <c r="A114" s="17" t="s">
        <v>144</v>
      </c>
      <c r="B114" s="17" t="s">
        <v>1339</v>
      </c>
      <c r="C114" s="17" t="s">
        <v>1259</v>
      </c>
      <c r="D114" s="17" t="s">
        <v>1121</v>
      </c>
      <c r="E114" s="17" t="s">
        <v>147</v>
      </c>
      <c r="F114" t="s">
        <v>90</v>
      </c>
      <c r="G114" s="16" t="s">
        <v>1351</v>
      </c>
      <c r="H114" t="s">
        <v>232</v>
      </c>
      <c r="I114" t="s">
        <v>233</v>
      </c>
      <c r="J114" t="s">
        <v>233</v>
      </c>
      <c r="K114">
        <v>0</v>
      </c>
      <c r="L114" t="s">
        <v>234</v>
      </c>
      <c r="M114" s="1" t="s">
        <v>1291</v>
      </c>
      <c r="N114" t="s">
        <v>1125</v>
      </c>
      <c r="P114" s="1" t="s">
        <v>194</v>
      </c>
      <c r="S114" t="s">
        <v>1110</v>
      </c>
      <c r="W114" t="s">
        <v>1149</v>
      </c>
      <c r="Y114" t="s">
        <v>1350</v>
      </c>
    </row>
    <row r="115" spans="1:25" x14ac:dyDescent="0.35">
      <c r="A115" s="17" t="s">
        <v>144</v>
      </c>
      <c r="B115" s="17" t="s">
        <v>1346</v>
      </c>
      <c r="C115" s="17" t="s">
        <v>1259</v>
      </c>
      <c r="D115" s="17" t="s">
        <v>1121</v>
      </c>
      <c r="E115" s="17" t="s">
        <v>147</v>
      </c>
      <c r="F115" t="s">
        <v>90</v>
      </c>
      <c r="G115" s="16" t="s">
        <v>1351</v>
      </c>
      <c r="H115" t="s">
        <v>232</v>
      </c>
      <c r="I115" t="s">
        <v>233</v>
      </c>
      <c r="J115" t="s">
        <v>233</v>
      </c>
      <c r="K115">
        <v>0</v>
      </c>
      <c r="L115" t="s">
        <v>234</v>
      </c>
      <c r="M115" s="1" t="s">
        <v>1291</v>
      </c>
      <c r="N115" t="s">
        <v>1125</v>
      </c>
      <c r="P115" s="1" t="s">
        <v>194</v>
      </c>
      <c r="S115" t="s">
        <v>1110</v>
      </c>
      <c r="W115" t="s">
        <v>1149</v>
      </c>
      <c r="Y115" t="s">
        <v>1350</v>
      </c>
    </row>
    <row r="116" spans="1:25" x14ac:dyDescent="0.35">
      <c r="A116" s="17" t="s">
        <v>144</v>
      </c>
      <c r="B116" s="17" t="s">
        <v>1347</v>
      </c>
      <c r="C116" s="17" t="s">
        <v>1259</v>
      </c>
      <c r="D116" s="17" t="s">
        <v>1121</v>
      </c>
      <c r="E116" s="17" t="s">
        <v>147</v>
      </c>
      <c r="F116" t="s">
        <v>90</v>
      </c>
      <c r="G116" s="16" t="s">
        <v>1351</v>
      </c>
      <c r="H116" t="s">
        <v>232</v>
      </c>
      <c r="I116" t="s">
        <v>233</v>
      </c>
      <c r="J116" t="s">
        <v>233</v>
      </c>
      <c r="K116">
        <v>0</v>
      </c>
      <c r="L116" t="s">
        <v>234</v>
      </c>
      <c r="M116" s="1" t="s">
        <v>1291</v>
      </c>
      <c r="N116" t="s">
        <v>1125</v>
      </c>
      <c r="P116" s="1" t="s">
        <v>194</v>
      </c>
      <c r="S116" t="s">
        <v>1110</v>
      </c>
      <c r="W116" t="s">
        <v>1149</v>
      </c>
      <c r="Y116" t="s">
        <v>1350</v>
      </c>
    </row>
    <row r="117" spans="1:25" x14ac:dyDescent="0.35">
      <c r="A117" s="17" t="s">
        <v>144</v>
      </c>
      <c r="B117" s="17" t="s">
        <v>1348</v>
      </c>
      <c r="C117" s="17" t="s">
        <v>1259</v>
      </c>
      <c r="D117" s="17" t="s">
        <v>1121</v>
      </c>
      <c r="E117" s="17" t="s">
        <v>147</v>
      </c>
      <c r="F117" t="s">
        <v>90</v>
      </c>
      <c r="G117" s="16" t="s">
        <v>1351</v>
      </c>
      <c r="H117" t="s">
        <v>232</v>
      </c>
      <c r="I117" t="s">
        <v>233</v>
      </c>
      <c r="J117" t="s">
        <v>233</v>
      </c>
      <c r="K117">
        <v>0</v>
      </c>
      <c r="L117" t="s">
        <v>234</v>
      </c>
      <c r="M117" s="1" t="s">
        <v>1291</v>
      </c>
      <c r="N117" t="s">
        <v>1125</v>
      </c>
      <c r="P117" s="1" t="s">
        <v>194</v>
      </c>
      <c r="S117" t="s">
        <v>1110</v>
      </c>
      <c r="W117" t="s">
        <v>1149</v>
      </c>
      <c r="Y117" t="s">
        <v>1350</v>
      </c>
    </row>
    <row r="118" spans="1:25" x14ac:dyDescent="0.35">
      <c r="A118" s="17" t="s">
        <v>144</v>
      </c>
      <c r="B118" s="17" t="s">
        <v>1349</v>
      </c>
      <c r="C118" s="17" t="s">
        <v>1259</v>
      </c>
      <c r="D118" s="17" t="s">
        <v>1121</v>
      </c>
      <c r="E118" s="17" t="s">
        <v>147</v>
      </c>
      <c r="F118" t="s">
        <v>90</v>
      </c>
      <c r="G118" s="16" t="s">
        <v>1351</v>
      </c>
      <c r="H118" t="s">
        <v>232</v>
      </c>
      <c r="I118" t="s">
        <v>233</v>
      </c>
      <c r="J118" t="s">
        <v>233</v>
      </c>
      <c r="K118">
        <v>0</v>
      </c>
      <c r="L118" t="s">
        <v>234</v>
      </c>
      <c r="M118" s="1" t="s">
        <v>1291</v>
      </c>
      <c r="N118" t="s">
        <v>1125</v>
      </c>
      <c r="P118" s="1" t="s">
        <v>194</v>
      </c>
      <c r="S118" t="s">
        <v>1110</v>
      </c>
      <c r="W118" t="s">
        <v>1149</v>
      </c>
      <c r="Y118" t="s">
        <v>1350</v>
      </c>
    </row>
    <row r="119" spans="1:25" x14ac:dyDescent="0.35">
      <c r="A119" s="17" t="s">
        <v>144</v>
      </c>
      <c r="B119" s="17" t="s">
        <v>1340</v>
      </c>
      <c r="C119" s="17" t="s">
        <v>1259</v>
      </c>
      <c r="D119" s="17" t="s">
        <v>1121</v>
      </c>
      <c r="E119" s="17" t="s">
        <v>147</v>
      </c>
      <c r="F119" t="s">
        <v>90</v>
      </c>
      <c r="G119" s="16" t="s">
        <v>1351</v>
      </c>
      <c r="H119" t="s">
        <v>232</v>
      </c>
      <c r="I119" t="s">
        <v>233</v>
      </c>
      <c r="J119" t="s">
        <v>233</v>
      </c>
      <c r="K119">
        <v>0</v>
      </c>
      <c r="L119" t="s">
        <v>234</v>
      </c>
      <c r="M119" s="1" t="s">
        <v>1291</v>
      </c>
      <c r="N119" t="s">
        <v>1125</v>
      </c>
      <c r="P119" s="1" t="s">
        <v>194</v>
      </c>
      <c r="S119" t="s">
        <v>1110</v>
      </c>
      <c r="W119" t="s">
        <v>1149</v>
      </c>
      <c r="Y119" t="s">
        <v>1350</v>
      </c>
    </row>
    <row r="120" spans="1:25" x14ac:dyDescent="0.35">
      <c r="A120" s="17" t="s">
        <v>144</v>
      </c>
      <c r="B120" s="17" t="s">
        <v>1341</v>
      </c>
      <c r="C120" s="17" t="s">
        <v>1259</v>
      </c>
      <c r="D120" s="17" t="s">
        <v>1121</v>
      </c>
      <c r="E120" s="17" t="s">
        <v>147</v>
      </c>
      <c r="F120" t="s">
        <v>90</v>
      </c>
      <c r="G120" s="16" t="s">
        <v>1351</v>
      </c>
      <c r="H120" t="s">
        <v>232</v>
      </c>
      <c r="I120" t="s">
        <v>233</v>
      </c>
      <c r="J120" t="s">
        <v>233</v>
      </c>
      <c r="K120">
        <v>0</v>
      </c>
      <c r="L120" t="s">
        <v>234</v>
      </c>
      <c r="M120" s="1" t="s">
        <v>1291</v>
      </c>
      <c r="N120" t="s">
        <v>1125</v>
      </c>
      <c r="P120" s="1" t="s">
        <v>194</v>
      </c>
      <c r="S120" t="s">
        <v>1110</v>
      </c>
      <c r="W120" t="s">
        <v>1149</v>
      </c>
      <c r="Y120" t="s">
        <v>1350</v>
      </c>
    </row>
    <row r="121" spans="1:25" x14ac:dyDescent="0.35">
      <c r="A121" s="17" t="s">
        <v>144</v>
      </c>
      <c r="B121" s="17" t="s">
        <v>142</v>
      </c>
      <c r="C121" s="17" t="s">
        <v>1259</v>
      </c>
      <c r="D121" s="17" t="s">
        <v>1121</v>
      </c>
      <c r="E121" s="17" t="s">
        <v>147</v>
      </c>
      <c r="F121" t="s">
        <v>90</v>
      </c>
      <c r="G121" s="16" t="s">
        <v>1351</v>
      </c>
      <c r="H121" t="s">
        <v>232</v>
      </c>
      <c r="I121" t="s">
        <v>233</v>
      </c>
      <c r="J121" t="s">
        <v>233</v>
      </c>
      <c r="K121">
        <v>0</v>
      </c>
      <c r="L121" t="s">
        <v>234</v>
      </c>
      <c r="M121" s="1" t="s">
        <v>1291</v>
      </c>
      <c r="N121" t="s">
        <v>1125</v>
      </c>
      <c r="P121" s="1" t="s">
        <v>194</v>
      </c>
      <c r="S121" t="s">
        <v>1110</v>
      </c>
      <c r="W121" t="s">
        <v>1149</v>
      </c>
      <c r="Y121" t="s">
        <v>1271</v>
      </c>
    </row>
    <row r="122" spans="1:25" x14ac:dyDescent="0.35">
      <c r="A122" s="17" t="s">
        <v>144</v>
      </c>
      <c r="B122" s="17" t="s">
        <v>1343</v>
      </c>
      <c r="C122" s="17" t="s">
        <v>1259</v>
      </c>
      <c r="D122" s="17" t="s">
        <v>1121</v>
      </c>
      <c r="E122" s="17" t="s">
        <v>147</v>
      </c>
      <c r="F122" t="s">
        <v>90</v>
      </c>
      <c r="G122" s="16" t="s">
        <v>1351</v>
      </c>
      <c r="H122" t="s">
        <v>232</v>
      </c>
      <c r="I122" t="s">
        <v>233</v>
      </c>
      <c r="J122" t="s">
        <v>233</v>
      </c>
      <c r="K122">
        <v>0</v>
      </c>
      <c r="L122" t="s">
        <v>234</v>
      </c>
      <c r="M122" s="1" t="s">
        <v>1291</v>
      </c>
      <c r="N122" t="s">
        <v>1125</v>
      </c>
      <c r="P122" s="1" t="s">
        <v>194</v>
      </c>
      <c r="S122" t="s">
        <v>1110</v>
      </c>
      <c r="W122" t="s">
        <v>1149</v>
      </c>
      <c r="Y122" t="s">
        <v>1271</v>
      </c>
    </row>
    <row r="123" spans="1:25" x14ac:dyDescent="0.35">
      <c r="A123" s="17" t="s">
        <v>144</v>
      </c>
      <c r="B123" s="17" t="s">
        <v>143</v>
      </c>
      <c r="C123" s="17" t="s">
        <v>1259</v>
      </c>
      <c r="D123" s="17" t="s">
        <v>1121</v>
      </c>
      <c r="E123" s="17" t="s">
        <v>147</v>
      </c>
      <c r="F123" t="s">
        <v>90</v>
      </c>
      <c r="G123" s="16" t="s">
        <v>1351</v>
      </c>
      <c r="H123" t="s">
        <v>232</v>
      </c>
      <c r="I123" t="s">
        <v>233</v>
      </c>
      <c r="J123" t="s">
        <v>233</v>
      </c>
      <c r="K123">
        <v>0</v>
      </c>
      <c r="L123" t="s">
        <v>234</v>
      </c>
      <c r="M123" s="1" t="s">
        <v>1291</v>
      </c>
      <c r="N123" t="s">
        <v>1125</v>
      </c>
      <c r="P123" s="1" t="s">
        <v>194</v>
      </c>
      <c r="S123" t="s">
        <v>1110</v>
      </c>
      <c r="W123" t="s">
        <v>1149</v>
      </c>
      <c r="Y123" t="s">
        <v>1273</v>
      </c>
    </row>
    <row r="124" spans="1:25" x14ac:dyDescent="0.35">
      <c r="P124" s="1"/>
    </row>
    <row r="126" spans="1:25" x14ac:dyDescent="0.35">
      <c r="A126" s="20" t="s">
        <v>1126</v>
      </c>
      <c r="B126" s="20"/>
      <c r="C126" s="20"/>
      <c r="D126" s="20"/>
      <c r="E126" s="20"/>
    </row>
  </sheetData>
  <autoFilter ref="A7:Z123" xr:uid="{D8A71177-6E26-4AFF-9242-3F7B796AEB9D}">
    <filterColumn colId="0">
      <filters>
        <filter val="Instrumentation"/>
      </filters>
    </filterColumn>
  </autoFilter>
  <mergeCells count="8">
    <mergeCell ref="W5:X5"/>
    <mergeCell ref="Y6:Z6"/>
    <mergeCell ref="A126:E126"/>
    <mergeCell ref="F1:M1"/>
    <mergeCell ref="A1:E1"/>
    <mergeCell ref="N2:Q2"/>
    <mergeCell ref="T3:V3"/>
    <mergeCell ref="R4:V4"/>
  </mergeCells>
  <phoneticPr fontId="14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9844450D-47CD-40BB-BAEF-9F970EFC0AB5}">
          <x14:formula1>
            <xm:f>'4.1.5 (Sub-Sector (N2)'!$C$2:$C$7</xm:f>
          </x14:formula1>
          <xm:sqref>L8:L29 L31:L124</xm:sqref>
        </x14:dataValidation>
        <x14:dataValidation type="list" allowBlank="1" showInputMessage="1" showErrorMessage="1" xr:uid="{C0AD0DFC-8898-4E29-A8FC-6AC08864172A}">
          <x14:formula1>
            <xm:f>'4.1.4 (Sector (N1)'!$A$1:$A$6</xm:f>
          </x14:formula1>
          <xm:sqref>K8:K29 K31:K124 T8:T124</xm:sqref>
        </x14:dataValidation>
        <x14:dataValidation type="list" allowBlank="1" showInputMessage="1" showErrorMessage="1" xr:uid="{E32B8C72-2ADA-4284-A2AF-9B9CB136C4CD}">
          <x14:formula1>
            <xm:f>'GECMS (Att 1)'!$F$2:$F$97</xm:f>
          </x14:formula1>
          <xm:sqref>G31:G40</xm:sqref>
        </x14:dataValidation>
        <x14:dataValidation type="list" allowBlank="1" showInputMessage="1" showErrorMessage="1" xr:uid="{43D0A55F-7B52-4AAA-AE3A-7D200D3C2FD3}">
          <x14:formula1>
            <xm:f>'Discipline (4.8)'!$C$2:$C$22</xm:f>
          </x14:formula1>
          <xm:sqref>W8:W10 W12:W25 W27:W29 W42:W45 W39:W40 W55 W64:W67 W77:W124</xm:sqref>
        </x14:dataValidation>
        <x14:dataValidation type="list" allowBlank="1" showInputMessage="1" showErrorMessage="1" xr:uid="{3DEB3B01-67D7-4B84-BA1F-5AA1E4DB3E0B}">
          <x14:formula1>
            <xm:f>'4.1.6 (Sheet No)'!$C$2:$C$6</xm:f>
          </x14:formula1>
          <xm:sqref>M30:M38 M11 M41:M54 M56:M63 M69:M123</xm:sqref>
        </x14:dataValidation>
        <x14:dataValidation type="list" allowBlank="1" showInputMessage="1" showErrorMessage="1" xr:uid="{A2286B74-1CF6-4F9A-BCA8-4A86C9709BA9}">
          <x14:formula1>
            <xm:f>'Doc Type (Att 2, 3, 4)'!$F$2:$F$304</xm:f>
          </x14:formula1>
          <xm:sqref>Y8:Y10 Y77:Y79 Y27:Y29 Y42:Y45 Y12:Y25 Y39:Y40 Y55 Y64:Y67 Y88:Y89 Y121:Y124</xm:sqref>
        </x14:dataValidation>
        <x14:dataValidation type="list" allowBlank="1" showInputMessage="1" showErrorMessage="1" xr:uid="{C2FBE5DB-115C-4D95-BD0E-8BFFED0E2515}">
          <x14:formula1>
            <xm:f>'4.1.1 Level (L1)'!$C$1:$C$9</xm:f>
          </x14:formula1>
          <xm:sqref>H8:H124</xm:sqref>
        </x14:dataValidation>
        <x14:dataValidation type="list" allowBlank="1" showInputMessage="1" showErrorMessage="1" xr:uid="{8317352F-56C8-4C8B-A183-83FC3F631204}">
          <x14:formula1>
            <xm:f>'4.1.2 Level (L2)'!$C$1:$C$3</xm:f>
          </x14:formula1>
          <xm:sqref>I8:I124</xm:sqref>
        </x14:dataValidation>
        <x14:dataValidation type="list" allowBlank="1" showInputMessage="1" showErrorMessage="1" xr:uid="{83AFE0FA-EF9C-4212-9A5C-825785FFACF6}">
          <x14:formula1>
            <xm:f>'4.1.3 Level (L3)'!$C$1:$C$8</xm:f>
          </x14:formula1>
          <xm:sqref>J8:J124</xm:sqref>
        </x14:dataValidation>
        <x14:dataValidation type="list" allowBlank="1" showInputMessage="1" showErrorMessage="1" xr:uid="{811B51B6-F704-4AAE-A08D-DE682882BD22}">
          <x14:formula1>
            <xm:f>'Dwg Disc Code'!$A$1:$A$2</xm:f>
          </x14:formula1>
          <xm:sqref>N8:N124</xm:sqref>
        </x14:dataValidation>
        <x14:dataValidation type="list" allowBlank="1" showInputMessage="1" showErrorMessage="1" xr:uid="{C06F3DF9-9FF1-41AD-BBCB-B2BC93E18F55}">
          <x14:formula1>
            <xm:f>'4.2.4 (Tank Farm)'!$C$2:$C$12</xm:f>
          </x14:formula1>
          <xm:sqref>Q8:Q124</xm:sqref>
        </x14:dataValidation>
        <x14:dataValidation type="list" allowBlank="1" showInputMessage="1" showErrorMessage="1" xr:uid="{3BEEFDA3-5CE2-46CD-BE16-B406D4043EBD}">
          <x14:formula1>
            <xm:f>'4.7 - Building Numbers'!$A$2:$A$43</xm:f>
          </x14:formula1>
          <xm:sqref>F8:F124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E1A7-34F2-4213-B23B-6DDC90C5A27C}">
  <dimension ref="A1:C9"/>
  <sheetViews>
    <sheetView workbookViewId="0">
      <selection activeCell="C9" sqref="C9"/>
    </sheetView>
  </sheetViews>
  <sheetFormatPr defaultRowHeight="14.5" x14ac:dyDescent="0.35"/>
  <cols>
    <col min="2" max="2" width="17.7265625" bestFit="1" customWidth="1"/>
    <col min="3" max="3" width="20.26953125" bestFit="1" customWidth="1"/>
  </cols>
  <sheetData>
    <row r="1" spans="1:3" x14ac:dyDescent="0.35">
      <c r="A1" t="s">
        <v>156</v>
      </c>
      <c r="B1" t="s">
        <v>1</v>
      </c>
      <c r="C1" t="s">
        <v>168</v>
      </c>
    </row>
    <row r="2" spans="1:3" x14ac:dyDescent="0.35">
      <c r="A2">
        <v>0</v>
      </c>
      <c r="B2" t="s">
        <v>157</v>
      </c>
      <c r="C2" t="str">
        <f>_xlfn.CONCAT(A2, " - ", B2)</f>
        <v>0 - Outside or General</v>
      </c>
    </row>
    <row r="3" spans="1:3" x14ac:dyDescent="0.35">
      <c r="A3">
        <v>1</v>
      </c>
      <c r="B3" t="s">
        <v>158</v>
      </c>
      <c r="C3" t="str">
        <f t="shared" ref="C3:C9" si="0">_xlfn.CONCAT(A3, " - ", B3)</f>
        <v>1 - 1st Floor</v>
      </c>
    </row>
    <row r="4" spans="1:3" x14ac:dyDescent="0.35">
      <c r="A4">
        <v>2</v>
      </c>
      <c r="B4" t="s">
        <v>159</v>
      </c>
      <c r="C4" t="str">
        <f t="shared" si="0"/>
        <v>2 - 2nd Floor</v>
      </c>
    </row>
    <row r="5" spans="1:3" x14ac:dyDescent="0.35">
      <c r="A5">
        <v>3</v>
      </c>
      <c r="B5" t="s">
        <v>160</v>
      </c>
      <c r="C5" t="str">
        <f t="shared" si="0"/>
        <v>3 - 3rd Floor</v>
      </c>
    </row>
    <row r="6" spans="1:3" x14ac:dyDescent="0.35">
      <c r="A6">
        <v>4</v>
      </c>
      <c r="B6" t="s">
        <v>161</v>
      </c>
      <c r="C6" t="str">
        <f t="shared" si="0"/>
        <v>4 - 4th Floor</v>
      </c>
    </row>
    <row r="7" spans="1:3" x14ac:dyDescent="0.35">
      <c r="A7">
        <v>5</v>
      </c>
      <c r="B7" t="s">
        <v>162</v>
      </c>
      <c r="C7" t="str">
        <f t="shared" si="0"/>
        <v>5 - 5th Floor</v>
      </c>
    </row>
    <row r="8" spans="1:3" x14ac:dyDescent="0.35">
      <c r="A8">
        <v>6</v>
      </c>
      <c r="B8" t="s">
        <v>163</v>
      </c>
      <c r="C8" t="str">
        <f t="shared" si="0"/>
        <v>6 - 6th Floor</v>
      </c>
    </row>
    <row r="9" spans="1:3" x14ac:dyDescent="0.35">
      <c r="A9" t="s">
        <v>164</v>
      </c>
      <c r="B9" t="s">
        <v>165</v>
      </c>
      <c r="C9" t="str">
        <f t="shared" si="0"/>
        <v>N - nth Floor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3ABF-081C-47C3-9A96-FED825ABF23C}">
  <dimension ref="A1:C3"/>
  <sheetViews>
    <sheetView workbookViewId="0">
      <selection activeCell="C3" sqref="C3"/>
    </sheetView>
  </sheetViews>
  <sheetFormatPr defaultRowHeight="14.5" x14ac:dyDescent="0.35"/>
  <cols>
    <col min="2" max="2" width="16.1796875" bestFit="1" customWidth="1"/>
  </cols>
  <sheetData>
    <row r="1" spans="1:3" x14ac:dyDescent="0.35">
      <c r="A1" t="s">
        <v>156</v>
      </c>
      <c r="B1" t="s">
        <v>1</v>
      </c>
      <c r="C1" t="s">
        <v>168</v>
      </c>
    </row>
    <row r="2" spans="1:3" x14ac:dyDescent="0.35">
      <c r="A2">
        <v>0</v>
      </c>
      <c r="B2" t="s">
        <v>166</v>
      </c>
      <c r="C2" t="str">
        <f>_xlfn.CONCAT(A2, " - ", B2)</f>
        <v>0 - General (Default)</v>
      </c>
    </row>
    <row r="3" spans="1:3" x14ac:dyDescent="0.35">
      <c r="A3">
        <v>5</v>
      </c>
      <c r="B3" t="s">
        <v>167</v>
      </c>
      <c r="C3" t="str">
        <f>_xlfn.CONCAT(A3, " - ", B3)</f>
        <v>5 - Half Level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578F-5432-4868-852E-FD9D9459BA8C}">
  <dimension ref="A1:C8"/>
  <sheetViews>
    <sheetView workbookViewId="0">
      <selection activeCell="C2" sqref="C2"/>
    </sheetView>
  </sheetViews>
  <sheetFormatPr defaultRowHeight="14.5" x14ac:dyDescent="0.35"/>
  <cols>
    <col min="1" max="1" width="8.81640625" bestFit="1" customWidth="1"/>
    <col min="2" max="2" width="16.1796875" bestFit="1" customWidth="1"/>
    <col min="3" max="3" width="18.81640625" bestFit="1" customWidth="1"/>
  </cols>
  <sheetData>
    <row r="1" spans="1:3" x14ac:dyDescent="0.35">
      <c r="A1" t="s">
        <v>156</v>
      </c>
      <c r="B1" t="s">
        <v>1</v>
      </c>
      <c r="C1" t="s">
        <v>168</v>
      </c>
    </row>
    <row r="2" spans="1:3" x14ac:dyDescent="0.35">
      <c r="A2">
        <v>0</v>
      </c>
      <c r="B2" t="s">
        <v>166</v>
      </c>
      <c r="C2" t="str">
        <f>_xlfn.CONCAT(A2, " - ", B2)</f>
        <v>0 - General (Default)</v>
      </c>
    </row>
    <row r="3" spans="1:3" x14ac:dyDescent="0.35">
      <c r="A3" t="s">
        <v>169</v>
      </c>
      <c r="B3" t="s">
        <v>170</v>
      </c>
      <c r="C3" t="str">
        <f t="shared" ref="C3:C8" si="0">_xlfn.CONCAT(A3, " - ", B3)</f>
        <v>B - Basement</v>
      </c>
    </row>
    <row r="4" spans="1:3" x14ac:dyDescent="0.35">
      <c r="A4" t="s">
        <v>171</v>
      </c>
      <c r="B4" t="s">
        <v>172</v>
      </c>
      <c r="C4" t="str">
        <f t="shared" si="0"/>
        <v>M - Mezzanine</v>
      </c>
    </row>
    <row r="5" spans="1:3" x14ac:dyDescent="0.35">
      <c r="A5" t="s">
        <v>164</v>
      </c>
      <c r="B5" t="s">
        <v>173</v>
      </c>
      <c r="C5" t="str">
        <f t="shared" si="0"/>
        <v>N - Interstitial</v>
      </c>
    </row>
    <row r="6" spans="1:3" x14ac:dyDescent="0.35">
      <c r="A6" t="s">
        <v>174</v>
      </c>
      <c r="B6" t="s">
        <v>175</v>
      </c>
      <c r="C6" t="str">
        <f t="shared" si="0"/>
        <v>P - Penthouse</v>
      </c>
    </row>
    <row r="7" spans="1:3" x14ac:dyDescent="0.35">
      <c r="A7" t="s">
        <v>176</v>
      </c>
      <c r="B7" t="s">
        <v>177</v>
      </c>
      <c r="C7" t="str">
        <f t="shared" si="0"/>
        <v>R - Roof</v>
      </c>
    </row>
    <row r="8" spans="1:3" x14ac:dyDescent="0.35">
      <c r="A8" t="s">
        <v>178</v>
      </c>
      <c r="B8" t="s">
        <v>179</v>
      </c>
      <c r="C8" t="str">
        <f t="shared" si="0"/>
        <v>U - U/G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C48F-D7BA-4518-B395-556793A29D62}">
  <dimension ref="A1:A6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3</v>
      </c>
    </row>
    <row r="5" spans="1:1" x14ac:dyDescent="0.35">
      <c r="A5">
        <v>4</v>
      </c>
    </row>
    <row r="6" spans="1:1" x14ac:dyDescent="0.35">
      <c r="A6" t="s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AE03-78F8-4A29-92C2-D02552F341D5}">
  <dimension ref="A1:C7"/>
  <sheetViews>
    <sheetView workbookViewId="0"/>
  </sheetViews>
  <sheetFormatPr defaultRowHeight="14.5" x14ac:dyDescent="0.35"/>
  <cols>
    <col min="2" max="2" width="25" bestFit="1" customWidth="1"/>
  </cols>
  <sheetData>
    <row r="1" spans="1:3" x14ac:dyDescent="0.35">
      <c r="A1" t="s">
        <v>185</v>
      </c>
      <c r="B1" t="s">
        <v>1</v>
      </c>
      <c r="C1" t="s">
        <v>168</v>
      </c>
    </row>
    <row r="2" spans="1:3" x14ac:dyDescent="0.35">
      <c r="A2">
        <v>0</v>
      </c>
      <c r="B2" t="s">
        <v>186</v>
      </c>
      <c r="C2" t="str">
        <f>_xlfn.CONCAT(A2, " - ", B2)</f>
        <v>0 - No sub sector</v>
      </c>
    </row>
    <row r="3" spans="1:3" x14ac:dyDescent="0.35">
      <c r="A3" t="s">
        <v>182</v>
      </c>
      <c r="B3" t="s">
        <v>187</v>
      </c>
      <c r="C3" t="str">
        <f t="shared" ref="C3:C7" si="0">_xlfn.CONCAT(A3, " - ", B3)</f>
        <v>A - Upper Left</v>
      </c>
    </row>
    <row r="4" spans="1:3" x14ac:dyDescent="0.35">
      <c r="A4" t="s">
        <v>169</v>
      </c>
      <c r="B4" t="s">
        <v>188</v>
      </c>
      <c r="C4" t="str">
        <f t="shared" si="0"/>
        <v>B - Upper Right</v>
      </c>
    </row>
    <row r="5" spans="1:3" x14ac:dyDescent="0.35">
      <c r="A5" t="s">
        <v>183</v>
      </c>
      <c r="B5" t="s">
        <v>189</v>
      </c>
      <c r="C5" t="str">
        <f t="shared" si="0"/>
        <v>C - Lower Left</v>
      </c>
    </row>
    <row r="6" spans="1:3" x14ac:dyDescent="0.35">
      <c r="A6" t="s">
        <v>184</v>
      </c>
      <c r="B6" t="s">
        <v>190</v>
      </c>
      <c r="C6" t="str">
        <f t="shared" si="0"/>
        <v>D - Lower Right</v>
      </c>
    </row>
    <row r="7" spans="1:3" x14ac:dyDescent="0.35">
      <c r="A7" t="s">
        <v>174</v>
      </c>
      <c r="B7" t="s">
        <v>191</v>
      </c>
      <c r="C7" t="str">
        <f t="shared" si="0"/>
        <v>P - Partial plan within a sector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D310-88A8-4D5C-84FB-F5B61344D1FE}">
  <dimension ref="A1:C6"/>
  <sheetViews>
    <sheetView workbookViewId="0"/>
  </sheetViews>
  <sheetFormatPr defaultRowHeight="14.5" x14ac:dyDescent="0.35"/>
  <cols>
    <col min="1" max="1" width="15.7265625" bestFit="1" customWidth="1"/>
    <col min="3" max="3" width="25.54296875" bestFit="1" customWidth="1"/>
  </cols>
  <sheetData>
    <row r="1" spans="1:3" x14ac:dyDescent="0.35">
      <c r="A1" t="s">
        <v>1137</v>
      </c>
      <c r="B1" t="s">
        <v>1138</v>
      </c>
      <c r="C1" t="s">
        <v>168</v>
      </c>
    </row>
    <row r="2" spans="1:3" x14ac:dyDescent="0.35">
      <c r="A2" t="s">
        <v>1127</v>
      </c>
      <c r="B2" t="s">
        <v>1128</v>
      </c>
      <c r="C2" t="str">
        <f>_xlfn.CONCAT(B2, " (", A2, ")")</f>
        <v>000 - 499 (Plans/General)</v>
      </c>
    </row>
    <row r="3" spans="1:3" x14ac:dyDescent="0.35">
      <c r="A3" t="s">
        <v>1129</v>
      </c>
      <c r="B3" t="s">
        <v>1130</v>
      </c>
      <c r="C3" t="str">
        <f t="shared" ref="C3:C6" si="0">_xlfn.CONCAT(B3, " (", A3, ")")</f>
        <v>500 - 599 (Elevations)</v>
      </c>
    </row>
    <row r="4" spans="1:3" x14ac:dyDescent="0.35">
      <c r="A4" t="s">
        <v>1131</v>
      </c>
      <c r="B4" t="s">
        <v>1132</v>
      </c>
      <c r="C4" t="str">
        <f t="shared" si="0"/>
        <v>600 - 799 (Other)</v>
      </c>
    </row>
    <row r="5" spans="1:3" x14ac:dyDescent="0.35">
      <c r="A5" t="s">
        <v>1133</v>
      </c>
      <c r="B5" t="s">
        <v>1134</v>
      </c>
      <c r="C5" t="str">
        <f t="shared" si="0"/>
        <v>800 - 899 (Schedules)</v>
      </c>
    </row>
    <row r="6" spans="1:3" x14ac:dyDescent="0.35">
      <c r="A6" t="s">
        <v>1135</v>
      </c>
      <c r="B6" t="s">
        <v>1136</v>
      </c>
      <c r="C6" t="str">
        <f t="shared" si="0"/>
        <v>900 - 999 (Details, Sections)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7657-E961-4EE7-A231-066066EC25D2}">
  <dimension ref="A1:A2"/>
  <sheetViews>
    <sheetView workbookViewId="0"/>
  </sheetViews>
  <sheetFormatPr defaultRowHeight="14.5" x14ac:dyDescent="0.35"/>
  <sheetData>
    <row r="1" spans="1:1" x14ac:dyDescent="0.35">
      <c r="A1" t="s">
        <v>1124</v>
      </c>
    </row>
    <row r="2" spans="1:1" x14ac:dyDescent="0.35">
      <c r="A2" t="s">
        <v>1125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FCA4-0450-40FA-BD5B-14114B139D61}">
  <dimension ref="A1:C12"/>
  <sheetViews>
    <sheetView workbookViewId="0">
      <selection activeCell="C12" sqref="C12"/>
    </sheetView>
  </sheetViews>
  <sheetFormatPr defaultRowHeight="14.5" x14ac:dyDescent="0.35"/>
  <cols>
    <col min="1" max="1" width="9.7265625" bestFit="1" customWidth="1"/>
    <col min="2" max="2" width="19.453125" bestFit="1" customWidth="1"/>
    <col min="3" max="3" width="24.54296875" bestFit="1" customWidth="1"/>
  </cols>
  <sheetData>
    <row r="1" spans="1:3" x14ac:dyDescent="0.35">
      <c r="A1" s="2" t="s">
        <v>216</v>
      </c>
      <c r="B1" s="2" t="s">
        <v>217</v>
      </c>
      <c r="C1" s="2" t="s">
        <v>168</v>
      </c>
    </row>
    <row r="2" spans="1:3" x14ac:dyDescent="0.35">
      <c r="A2" t="s">
        <v>218</v>
      </c>
      <c r="B2" t="s">
        <v>219</v>
      </c>
      <c r="C2" s="5" t="str">
        <f>_xlfn.CONCAT(A2, " (", B2, ")")</f>
        <v>000-099 (Distribution Headers)</v>
      </c>
    </row>
    <row r="3" spans="1:3" x14ac:dyDescent="0.35">
      <c r="A3" t="s">
        <v>220</v>
      </c>
      <c r="C3" s="5" t="str">
        <f t="shared" ref="C3:C12" si="0">_xlfn.CONCAT(A3, " (", B3, ")")</f>
        <v>100-199 ()</v>
      </c>
    </row>
    <row r="4" spans="1:3" x14ac:dyDescent="0.35">
      <c r="A4" t="s">
        <v>221</v>
      </c>
      <c r="C4" s="5" t="str">
        <f t="shared" si="0"/>
        <v>200-299 ()</v>
      </c>
    </row>
    <row r="5" spans="1:3" x14ac:dyDescent="0.35">
      <c r="A5" t="s">
        <v>222</v>
      </c>
      <c r="C5" s="5" t="str">
        <f t="shared" si="0"/>
        <v>300-399 ()</v>
      </c>
    </row>
    <row r="6" spans="1:3" x14ac:dyDescent="0.35">
      <c r="A6" t="s">
        <v>223</v>
      </c>
      <c r="C6" s="5" t="str">
        <f t="shared" si="0"/>
        <v>400-499 ()</v>
      </c>
    </row>
    <row r="7" spans="1:3" x14ac:dyDescent="0.35">
      <c r="A7" t="s">
        <v>224</v>
      </c>
      <c r="C7" s="5" t="str">
        <f t="shared" si="0"/>
        <v>500-599 ()</v>
      </c>
    </row>
    <row r="8" spans="1:3" x14ac:dyDescent="0.35">
      <c r="A8" t="s">
        <v>225</v>
      </c>
      <c r="C8" s="5" t="str">
        <f t="shared" si="0"/>
        <v>600-699 ()</v>
      </c>
    </row>
    <row r="9" spans="1:3" x14ac:dyDescent="0.35">
      <c r="A9" t="s">
        <v>226</v>
      </c>
      <c r="C9" s="5" t="str">
        <f t="shared" si="0"/>
        <v>700-799 ()</v>
      </c>
    </row>
    <row r="10" spans="1:3" x14ac:dyDescent="0.35">
      <c r="A10" t="s">
        <v>227</v>
      </c>
      <c r="B10" t="s">
        <v>228</v>
      </c>
      <c r="C10" s="5" t="str">
        <f t="shared" si="0"/>
        <v>800-899 (Plant Utilities)</v>
      </c>
    </row>
    <row r="11" spans="1:3" x14ac:dyDescent="0.35">
      <c r="A11" t="s">
        <v>229</v>
      </c>
      <c r="B11" t="s">
        <v>230</v>
      </c>
      <c r="C11" s="5" t="str">
        <f t="shared" si="0"/>
        <v>900-999 (Waste Treatment)</v>
      </c>
    </row>
    <row r="12" spans="1:3" x14ac:dyDescent="0.35">
      <c r="A12" t="s">
        <v>231</v>
      </c>
      <c r="B12" t="s">
        <v>204</v>
      </c>
      <c r="C12" s="5" t="str">
        <f t="shared" si="0"/>
        <v>1000-1099 (HVAC)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CF7A-E8B5-40C8-845E-659E21245C48}">
  <dimension ref="A1:C43"/>
  <sheetViews>
    <sheetView topLeftCell="A7" workbookViewId="0"/>
  </sheetViews>
  <sheetFormatPr defaultColWidth="10.453125" defaultRowHeight="14.5" x14ac:dyDescent="0.35"/>
  <cols>
    <col min="1" max="1" width="54.81640625" bestFit="1" customWidth="1"/>
    <col min="2" max="2" width="51.1796875" bestFit="1" customWidth="1"/>
    <col min="3" max="3" width="12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51</v>
      </c>
      <c r="B2" t="s">
        <v>3</v>
      </c>
      <c r="C2" t="s">
        <v>4</v>
      </c>
    </row>
    <row r="3" spans="1:3" x14ac:dyDescent="0.35">
      <c r="A3" t="s">
        <v>52</v>
      </c>
      <c r="B3" t="s">
        <v>6</v>
      </c>
      <c r="C3" t="s">
        <v>7</v>
      </c>
    </row>
    <row r="4" spans="1:3" x14ac:dyDescent="0.35">
      <c r="A4" t="s">
        <v>53</v>
      </c>
      <c r="B4" t="s">
        <v>8</v>
      </c>
      <c r="C4" t="s">
        <v>9</v>
      </c>
    </row>
    <row r="5" spans="1:3" x14ac:dyDescent="0.35">
      <c r="A5" t="s">
        <v>54</v>
      </c>
      <c r="B5" t="s">
        <v>10</v>
      </c>
      <c r="C5" t="s">
        <v>11</v>
      </c>
    </row>
    <row r="6" spans="1:3" x14ac:dyDescent="0.35">
      <c r="A6" t="s">
        <v>55</v>
      </c>
      <c r="B6" t="s">
        <v>12</v>
      </c>
      <c r="C6" t="s">
        <v>13</v>
      </c>
    </row>
    <row r="7" spans="1:3" x14ac:dyDescent="0.35">
      <c r="A7" t="s">
        <v>56</v>
      </c>
      <c r="B7" t="s">
        <v>14</v>
      </c>
      <c r="C7" t="s">
        <v>9</v>
      </c>
    </row>
    <row r="8" spans="1:3" x14ac:dyDescent="0.35">
      <c r="A8" t="s">
        <v>57</v>
      </c>
      <c r="B8" t="s">
        <v>15</v>
      </c>
      <c r="C8" t="s">
        <v>9</v>
      </c>
    </row>
    <row r="9" spans="1:3" x14ac:dyDescent="0.35">
      <c r="A9" t="s">
        <v>58</v>
      </c>
      <c r="B9" t="s">
        <v>16</v>
      </c>
      <c r="C9" t="s">
        <v>17</v>
      </c>
    </row>
    <row r="10" spans="1:3" x14ac:dyDescent="0.35">
      <c r="A10" t="s">
        <v>59</v>
      </c>
      <c r="B10" t="s">
        <v>18</v>
      </c>
      <c r="C10" t="s">
        <v>17</v>
      </c>
    </row>
    <row r="11" spans="1:3" x14ac:dyDescent="0.35">
      <c r="A11" t="s">
        <v>60</v>
      </c>
      <c r="B11" t="s">
        <v>19</v>
      </c>
      <c r="C11" t="s">
        <v>17</v>
      </c>
    </row>
    <row r="12" spans="1:3" x14ac:dyDescent="0.35">
      <c r="A12" t="s">
        <v>61</v>
      </c>
      <c r="B12" t="s">
        <v>20</v>
      </c>
      <c r="C12" t="s">
        <v>21</v>
      </c>
    </row>
    <row r="13" spans="1:3" x14ac:dyDescent="0.35">
      <c r="A13" t="s">
        <v>62</v>
      </c>
      <c r="B13" t="s">
        <v>22</v>
      </c>
      <c r="C13" t="s">
        <v>21</v>
      </c>
    </row>
    <row r="14" spans="1:3" x14ac:dyDescent="0.35">
      <c r="A14" t="s">
        <v>63</v>
      </c>
      <c r="B14" t="s">
        <v>23</v>
      </c>
      <c r="C14" t="s">
        <v>21</v>
      </c>
    </row>
    <row r="15" spans="1:3" x14ac:dyDescent="0.35">
      <c r="A15" t="s">
        <v>64</v>
      </c>
      <c r="B15" t="s">
        <v>24</v>
      </c>
      <c r="C15" t="s">
        <v>25</v>
      </c>
    </row>
    <row r="16" spans="1:3" x14ac:dyDescent="0.35">
      <c r="A16" t="s">
        <v>65</v>
      </c>
      <c r="B16" t="s">
        <v>26</v>
      </c>
      <c r="C16" t="s">
        <v>25</v>
      </c>
    </row>
    <row r="17" spans="1:3" x14ac:dyDescent="0.35">
      <c r="A17" t="s">
        <v>66</v>
      </c>
      <c r="B17" t="s">
        <v>27</v>
      </c>
      <c r="C17" t="s">
        <v>25</v>
      </c>
    </row>
    <row r="18" spans="1:3" x14ac:dyDescent="0.35">
      <c r="A18" t="s">
        <v>67</v>
      </c>
      <c r="B18" t="s">
        <v>28</v>
      </c>
      <c r="C18" t="s">
        <v>29</v>
      </c>
    </row>
    <row r="19" spans="1:3" x14ac:dyDescent="0.35">
      <c r="A19" t="s">
        <v>68</v>
      </c>
      <c r="B19" t="s">
        <v>28</v>
      </c>
      <c r="C19" t="s">
        <v>29</v>
      </c>
    </row>
    <row r="20" spans="1:3" x14ac:dyDescent="0.35">
      <c r="A20" t="s">
        <v>69</v>
      </c>
      <c r="B20" t="s">
        <v>28</v>
      </c>
      <c r="C20" t="s">
        <v>29</v>
      </c>
    </row>
    <row r="21" spans="1:3" x14ac:dyDescent="0.35">
      <c r="A21" t="s">
        <v>70</v>
      </c>
      <c r="B21" t="s">
        <v>28</v>
      </c>
      <c r="C21" t="s">
        <v>29</v>
      </c>
    </row>
    <row r="22" spans="1:3" x14ac:dyDescent="0.35">
      <c r="A22" t="s">
        <v>71</v>
      </c>
      <c r="B22" t="s">
        <v>28</v>
      </c>
      <c r="C22" t="s">
        <v>29</v>
      </c>
    </row>
    <row r="23" spans="1:3" x14ac:dyDescent="0.35">
      <c r="A23" t="s">
        <v>72</v>
      </c>
      <c r="B23" t="s">
        <v>28</v>
      </c>
      <c r="C23" t="s">
        <v>29</v>
      </c>
    </row>
    <row r="24" spans="1:3" x14ac:dyDescent="0.35">
      <c r="A24" t="s">
        <v>73</v>
      </c>
      <c r="B24" t="s">
        <v>28</v>
      </c>
      <c r="C24" t="s">
        <v>29</v>
      </c>
    </row>
    <row r="25" spans="1:3" x14ac:dyDescent="0.35">
      <c r="A25" t="s">
        <v>74</v>
      </c>
      <c r="B25" t="s">
        <v>28</v>
      </c>
      <c r="C25" t="s">
        <v>29</v>
      </c>
    </row>
    <row r="26" spans="1:3" x14ac:dyDescent="0.35">
      <c r="A26" t="s">
        <v>75</v>
      </c>
      <c r="B26" t="s">
        <v>28</v>
      </c>
      <c r="C26" t="s">
        <v>29</v>
      </c>
    </row>
    <row r="27" spans="1:3" x14ac:dyDescent="0.35">
      <c r="A27" t="s">
        <v>76</v>
      </c>
      <c r="B27" t="s">
        <v>28</v>
      </c>
      <c r="C27" t="s">
        <v>29</v>
      </c>
    </row>
    <row r="28" spans="1:3" x14ac:dyDescent="0.35">
      <c r="A28" t="s">
        <v>77</v>
      </c>
      <c r="B28" t="s">
        <v>30</v>
      </c>
      <c r="C28" t="s">
        <v>31</v>
      </c>
    </row>
    <row r="29" spans="1:3" x14ac:dyDescent="0.35">
      <c r="A29" t="s">
        <v>78</v>
      </c>
      <c r="B29" t="s">
        <v>32</v>
      </c>
      <c r="C29" t="s">
        <v>31</v>
      </c>
    </row>
    <row r="30" spans="1:3" x14ac:dyDescent="0.35">
      <c r="A30" t="s">
        <v>79</v>
      </c>
      <c r="B30" t="s">
        <v>33</v>
      </c>
      <c r="C30" t="s">
        <v>31</v>
      </c>
    </row>
    <row r="31" spans="1:3" x14ac:dyDescent="0.35">
      <c r="A31" t="s">
        <v>80</v>
      </c>
      <c r="B31" t="s">
        <v>34</v>
      </c>
      <c r="C31" t="s">
        <v>5</v>
      </c>
    </row>
    <row r="32" spans="1:3" x14ac:dyDescent="0.35">
      <c r="A32" t="s">
        <v>81</v>
      </c>
      <c r="B32" t="s">
        <v>35</v>
      </c>
      <c r="C32" t="s">
        <v>36</v>
      </c>
    </row>
    <row r="33" spans="1:3" x14ac:dyDescent="0.35">
      <c r="A33" t="s">
        <v>82</v>
      </c>
      <c r="B33" t="s">
        <v>37</v>
      </c>
      <c r="C33" t="s">
        <v>31</v>
      </c>
    </row>
    <row r="34" spans="1:3" x14ac:dyDescent="0.35">
      <c r="A34" t="s">
        <v>83</v>
      </c>
      <c r="B34" t="s">
        <v>38</v>
      </c>
      <c r="C34" t="s">
        <v>5</v>
      </c>
    </row>
    <row r="35" spans="1:3" x14ac:dyDescent="0.35">
      <c r="A35" t="s">
        <v>84</v>
      </c>
      <c r="B35" t="s">
        <v>39</v>
      </c>
      <c r="C35" t="s">
        <v>40</v>
      </c>
    </row>
    <row r="36" spans="1:3" x14ac:dyDescent="0.35">
      <c r="A36" t="s">
        <v>85</v>
      </c>
      <c r="B36" t="s">
        <v>41</v>
      </c>
      <c r="C36" t="s">
        <v>40</v>
      </c>
    </row>
    <row r="37" spans="1:3" x14ac:dyDescent="0.35">
      <c r="A37" t="s">
        <v>86</v>
      </c>
      <c r="B37" t="s">
        <v>42</v>
      </c>
      <c r="C37" t="s">
        <v>36</v>
      </c>
    </row>
    <row r="38" spans="1:3" x14ac:dyDescent="0.35">
      <c r="A38" t="s">
        <v>87</v>
      </c>
      <c r="B38" t="s">
        <v>43</v>
      </c>
      <c r="C38" t="s">
        <v>5</v>
      </c>
    </row>
    <row r="39" spans="1:3" x14ac:dyDescent="0.35">
      <c r="A39" t="s">
        <v>88</v>
      </c>
      <c r="B39" t="s">
        <v>44</v>
      </c>
      <c r="C39" t="s">
        <v>45</v>
      </c>
    </row>
    <row r="40" spans="1:3" x14ac:dyDescent="0.35">
      <c r="A40" t="s">
        <v>89</v>
      </c>
      <c r="B40" t="s">
        <v>46</v>
      </c>
      <c r="C40" t="s">
        <v>36</v>
      </c>
    </row>
    <row r="41" spans="1:3" x14ac:dyDescent="0.35">
      <c r="A41" t="s">
        <v>90</v>
      </c>
      <c r="B41" t="s">
        <v>47</v>
      </c>
      <c r="C41" t="s">
        <v>48</v>
      </c>
    </row>
    <row r="42" spans="1:3" x14ac:dyDescent="0.35">
      <c r="A42" t="s">
        <v>91</v>
      </c>
      <c r="B42" t="s">
        <v>49</v>
      </c>
      <c r="C42" t="s">
        <v>31</v>
      </c>
    </row>
    <row r="43" spans="1:3" x14ac:dyDescent="0.35">
      <c r="A43" t="s">
        <v>92</v>
      </c>
      <c r="B43" t="s">
        <v>50</v>
      </c>
      <c r="C43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0111-8328-497B-9ABF-D1E6E3423240}">
  <dimension ref="A1:C22"/>
  <sheetViews>
    <sheetView workbookViewId="0">
      <selection activeCell="B4" sqref="B4"/>
    </sheetView>
  </sheetViews>
  <sheetFormatPr defaultRowHeight="14.5" x14ac:dyDescent="0.35"/>
  <cols>
    <col min="1" max="1" width="5.453125" bestFit="1" customWidth="1"/>
    <col min="2" max="2" width="46.26953125" bestFit="1" customWidth="1"/>
    <col min="3" max="3" width="48.81640625" bestFit="1" customWidth="1"/>
  </cols>
  <sheetData>
    <row r="1" spans="1:3" x14ac:dyDescent="0.35">
      <c r="A1" t="s">
        <v>197</v>
      </c>
      <c r="B1" t="s">
        <v>99</v>
      </c>
      <c r="C1" t="s">
        <v>168</v>
      </c>
    </row>
    <row r="2" spans="1:3" x14ac:dyDescent="0.35">
      <c r="A2" s="1" t="s">
        <v>235</v>
      </c>
      <c r="B2" t="s">
        <v>198</v>
      </c>
      <c r="C2" t="str">
        <f>_xlfn.CONCAT(A2, " - ", B2)</f>
        <v>000 - General Engineering (common or multi-discipline)</v>
      </c>
    </row>
    <row r="3" spans="1:3" x14ac:dyDescent="0.35">
      <c r="A3" s="1" t="s">
        <v>1252</v>
      </c>
      <c r="B3" t="s">
        <v>1253</v>
      </c>
      <c r="C3" t="str">
        <f t="shared" ref="C3:C22" si="0">_xlfn.CONCAT(A3, " - ", B3)</f>
        <v>042 - Quality Assurance</v>
      </c>
    </row>
    <row r="4" spans="1:3" x14ac:dyDescent="0.35">
      <c r="A4" s="1">
        <v>100</v>
      </c>
      <c r="B4" t="s">
        <v>199</v>
      </c>
      <c r="C4" t="str">
        <f t="shared" si="0"/>
        <v>100 - Project Management</v>
      </c>
    </row>
    <row r="5" spans="1:3" x14ac:dyDescent="0.35">
      <c r="A5" s="1">
        <v>200</v>
      </c>
      <c r="B5" t="s">
        <v>101</v>
      </c>
      <c r="C5" t="str">
        <f t="shared" si="0"/>
        <v>200 - Engineering Management</v>
      </c>
    </row>
    <row r="6" spans="1:3" x14ac:dyDescent="0.35">
      <c r="A6" s="1">
        <v>210</v>
      </c>
      <c r="B6" t="s">
        <v>200</v>
      </c>
      <c r="C6" t="str">
        <f t="shared" si="0"/>
        <v>210 - Civil Engineering</v>
      </c>
    </row>
    <row r="7" spans="1:3" x14ac:dyDescent="0.35">
      <c r="A7" s="1">
        <v>215</v>
      </c>
      <c r="B7" t="s">
        <v>201</v>
      </c>
      <c r="C7" t="str">
        <f t="shared" si="0"/>
        <v>215 - Structural Engineering</v>
      </c>
    </row>
    <row r="8" spans="1:3" x14ac:dyDescent="0.35">
      <c r="A8" s="1">
        <v>220</v>
      </c>
      <c r="B8" t="s">
        <v>202</v>
      </c>
      <c r="C8" t="str">
        <f t="shared" si="0"/>
        <v>220 - Architectural</v>
      </c>
    </row>
    <row r="9" spans="1:3" x14ac:dyDescent="0.35">
      <c r="A9" s="1">
        <v>225</v>
      </c>
      <c r="B9" t="s">
        <v>203</v>
      </c>
      <c r="C9" t="str">
        <f t="shared" si="0"/>
        <v>225 - Process</v>
      </c>
    </row>
    <row r="10" spans="1:3" x14ac:dyDescent="0.35">
      <c r="A10" s="1">
        <v>235</v>
      </c>
      <c r="B10" t="s">
        <v>204</v>
      </c>
      <c r="C10" t="str">
        <f t="shared" si="0"/>
        <v>235 - HVAC</v>
      </c>
    </row>
    <row r="11" spans="1:3" x14ac:dyDescent="0.35">
      <c r="A11" s="1">
        <v>240</v>
      </c>
      <c r="B11" t="s">
        <v>205</v>
      </c>
      <c r="C11" t="str">
        <f t="shared" si="0"/>
        <v>240 - Plumbing</v>
      </c>
    </row>
    <row r="12" spans="1:3" x14ac:dyDescent="0.35">
      <c r="A12" s="1">
        <v>250</v>
      </c>
      <c r="B12" t="s">
        <v>206</v>
      </c>
      <c r="C12" t="str">
        <f t="shared" si="0"/>
        <v>250 - Piping Engineering</v>
      </c>
    </row>
    <row r="13" spans="1:3" x14ac:dyDescent="0.35">
      <c r="A13" s="1">
        <v>255</v>
      </c>
      <c r="B13" t="s">
        <v>207</v>
      </c>
      <c r="C13" t="str">
        <f t="shared" si="0"/>
        <v>255 - Mechanical Engineering</v>
      </c>
    </row>
    <row r="14" spans="1:3" x14ac:dyDescent="0.35">
      <c r="A14" s="1">
        <v>265</v>
      </c>
      <c r="B14" t="s">
        <v>137</v>
      </c>
      <c r="C14" t="str">
        <f t="shared" si="0"/>
        <v>265 - Electrical</v>
      </c>
    </row>
    <row r="15" spans="1:3" x14ac:dyDescent="0.35">
      <c r="A15" s="1">
        <v>270</v>
      </c>
      <c r="B15" t="s">
        <v>208</v>
      </c>
      <c r="C15" t="str">
        <f t="shared" si="0"/>
        <v>270 - Control Systems</v>
      </c>
    </row>
    <row r="16" spans="1:3" x14ac:dyDescent="0.35">
      <c r="A16" s="1">
        <v>275</v>
      </c>
      <c r="B16" t="s">
        <v>209</v>
      </c>
      <c r="C16" t="str">
        <f t="shared" si="0"/>
        <v>275 - Security, IT, Fire Alarm</v>
      </c>
    </row>
    <row r="17" spans="1:3" x14ac:dyDescent="0.35">
      <c r="A17" s="1">
        <v>285</v>
      </c>
      <c r="B17" t="s">
        <v>210</v>
      </c>
      <c r="C17" t="str">
        <f t="shared" si="0"/>
        <v>285 - Welding Quality</v>
      </c>
    </row>
    <row r="18" spans="1:3" x14ac:dyDescent="0.35">
      <c r="A18" s="1">
        <v>300</v>
      </c>
      <c r="B18" t="s">
        <v>211</v>
      </c>
      <c r="C18" t="str">
        <f t="shared" si="0"/>
        <v>300 - Project Controls</v>
      </c>
    </row>
    <row r="19" spans="1:3" x14ac:dyDescent="0.35">
      <c r="A19" s="1">
        <v>400</v>
      </c>
      <c r="B19" t="s">
        <v>212</v>
      </c>
      <c r="C19" t="str">
        <f t="shared" si="0"/>
        <v>400 - Procurement</v>
      </c>
    </row>
    <row r="20" spans="1:3" x14ac:dyDescent="0.35">
      <c r="A20" s="1">
        <v>430</v>
      </c>
      <c r="B20" t="s">
        <v>213</v>
      </c>
      <c r="C20" t="str">
        <f t="shared" si="0"/>
        <v>430 - Contract Management</v>
      </c>
    </row>
    <row r="21" spans="1:3" x14ac:dyDescent="0.35">
      <c r="A21" s="1">
        <v>500</v>
      </c>
      <c r="B21" t="s">
        <v>214</v>
      </c>
      <c r="C21" t="str">
        <f t="shared" si="0"/>
        <v>500 - Construction</v>
      </c>
    </row>
    <row r="22" spans="1:3" x14ac:dyDescent="0.35">
      <c r="A22" s="1">
        <v>653</v>
      </c>
      <c r="B22" t="s">
        <v>215</v>
      </c>
      <c r="C22" t="str">
        <f t="shared" si="0"/>
        <v>653 - HSE, Fire Protection, LEED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EE95-927E-4F08-BF73-4596AB34B2DC}">
  <dimension ref="A1:F97"/>
  <sheetViews>
    <sheetView workbookViewId="0">
      <pane ySplit="1" topLeftCell="A2" activePane="bottomLeft" state="frozen"/>
      <selection pane="bottomLeft" activeCell="A2" sqref="A2"/>
    </sheetView>
  </sheetViews>
  <sheetFormatPr defaultColWidth="151" defaultRowHeight="14.5" x14ac:dyDescent="0.35"/>
  <cols>
    <col min="1" max="1" width="21.453125" bestFit="1" customWidth="1"/>
    <col min="2" max="2" width="23.81640625" bestFit="1" customWidth="1"/>
    <col min="3" max="3" width="32" bestFit="1" customWidth="1"/>
    <col min="4" max="4" width="57" bestFit="1" customWidth="1"/>
    <col min="5" max="5" width="22.7265625" bestFit="1" customWidth="1"/>
    <col min="6" max="6" width="61.1796875" customWidth="1"/>
  </cols>
  <sheetData>
    <row r="1" spans="1:6" s="2" customFormat="1" x14ac:dyDescent="0.35">
      <c r="A1" s="2" t="s">
        <v>244</v>
      </c>
      <c r="B1" s="2" t="s">
        <v>245</v>
      </c>
      <c r="C1" s="2" t="s">
        <v>237</v>
      </c>
      <c r="D1" s="2" t="s">
        <v>237</v>
      </c>
      <c r="E1" s="2" t="s">
        <v>246</v>
      </c>
      <c r="F1" s="2" t="s">
        <v>168</v>
      </c>
    </row>
    <row r="2" spans="1:6" x14ac:dyDescent="0.35">
      <c r="A2" t="s">
        <v>202</v>
      </c>
      <c r="B2" t="s">
        <v>247</v>
      </c>
      <c r="C2" t="s">
        <v>248</v>
      </c>
      <c r="D2" t="s">
        <v>249</v>
      </c>
      <c r="E2" t="s">
        <v>238</v>
      </c>
      <c r="F2" t="str">
        <f>_xlfn.CONCAT(B2, " - ", A2, " (", D2, ")")</f>
        <v>AJ - Architectural (Title and Lead Sheets)</v>
      </c>
    </row>
    <row r="3" spans="1:6" x14ac:dyDescent="0.35">
      <c r="A3" t="s">
        <v>202</v>
      </c>
      <c r="B3" t="s">
        <v>250</v>
      </c>
      <c r="C3" t="s">
        <v>251</v>
      </c>
      <c r="D3" t="s">
        <v>252</v>
      </c>
      <c r="E3" t="s">
        <v>239</v>
      </c>
      <c r="F3" t="str">
        <f t="shared" ref="F3:F66" si="0">_xlfn.CONCAT(B3, " - ", A3, " (", D3, ")")</f>
        <v>AS - Architectural (Architectural Site,
Plot &amp; Landscape Plans)</v>
      </c>
    </row>
    <row r="4" spans="1:6" x14ac:dyDescent="0.35">
      <c r="A4" t="s">
        <v>202</v>
      </c>
      <c r="B4" t="s">
        <v>250</v>
      </c>
      <c r="C4" t="s">
        <v>251</v>
      </c>
      <c r="D4" t="s">
        <v>253</v>
      </c>
      <c r="E4" t="s">
        <v>240</v>
      </c>
      <c r="F4" t="str">
        <f t="shared" si="0"/>
        <v>AS - Architectural (Exterior Elevations)</v>
      </c>
    </row>
    <row r="5" spans="1:6" x14ac:dyDescent="0.35">
      <c r="A5" t="s">
        <v>202</v>
      </c>
      <c r="B5" t="s">
        <v>254</v>
      </c>
      <c r="C5" t="s">
        <v>255</v>
      </c>
      <c r="D5" t="s">
        <v>256</v>
      </c>
      <c r="E5" t="s">
        <v>240</v>
      </c>
      <c r="F5" t="str">
        <f t="shared" si="0"/>
        <v>AI - Architectural (Architectural Floor Plans)</v>
      </c>
    </row>
    <row r="6" spans="1:6" x14ac:dyDescent="0.35">
      <c r="A6" t="s">
        <v>202</v>
      </c>
      <c r="B6" t="s">
        <v>254</v>
      </c>
      <c r="C6" t="s">
        <v>255</v>
      </c>
      <c r="D6" t="s">
        <v>257</v>
      </c>
      <c r="E6" t="s">
        <v>241</v>
      </c>
      <c r="F6" t="str">
        <f t="shared" si="0"/>
        <v>AI - Architectural (Room Finishes)</v>
      </c>
    </row>
    <row r="7" spans="1:6" x14ac:dyDescent="0.35">
      <c r="A7" t="s">
        <v>202</v>
      </c>
      <c r="B7" t="s">
        <v>258</v>
      </c>
      <c r="C7" t="s">
        <v>259</v>
      </c>
      <c r="D7" t="s">
        <v>259</v>
      </c>
      <c r="E7" t="s">
        <v>241</v>
      </c>
      <c r="F7" t="str">
        <f t="shared" si="0"/>
        <v>AE - Architectural (Architectural Elements)</v>
      </c>
    </row>
    <row r="8" spans="1:6" x14ac:dyDescent="0.35">
      <c r="A8" t="s">
        <v>202</v>
      </c>
      <c r="B8" t="s">
        <v>254</v>
      </c>
      <c r="C8" t="s">
        <v>255</v>
      </c>
      <c r="D8" t="s">
        <v>260</v>
      </c>
      <c r="E8" t="s">
        <v>242</v>
      </c>
      <c r="F8" t="str">
        <f t="shared" si="0"/>
        <v>AI - Architectural (HVAC Area Classification Plans)</v>
      </c>
    </row>
    <row r="9" spans="1:6" x14ac:dyDescent="0.35">
      <c r="A9" t="s">
        <v>202</v>
      </c>
      <c r="B9" t="s">
        <v>254</v>
      </c>
      <c r="C9" t="s">
        <v>255</v>
      </c>
      <c r="D9" t="s">
        <v>261</v>
      </c>
      <c r="E9" t="s">
        <v>242</v>
      </c>
      <c r="F9" t="str">
        <f t="shared" si="0"/>
        <v>AI - Architectural (Architectural Equipment Plans)</v>
      </c>
    </row>
    <row r="10" spans="1:6" x14ac:dyDescent="0.35">
      <c r="A10" t="s">
        <v>202</v>
      </c>
      <c r="B10" t="s">
        <v>254</v>
      </c>
      <c r="C10" t="s">
        <v>255</v>
      </c>
      <c r="D10" t="s">
        <v>262</v>
      </c>
      <c r="E10" t="s">
        <v>242</v>
      </c>
      <c r="F10" t="str">
        <f t="shared" si="0"/>
        <v>AI - Architectural (Reflected Ceiling Plans)</v>
      </c>
    </row>
    <row r="11" spans="1:6" x14ac:dyDescent="0.35">
      <c r="A11" t="s">
        <v>202</v>
      </c>
      <c r="B11" t="s">
        <v>263</v>
      </c>
      <c r="C11" t="s">
        <v>264</v>
      </c>
      <c r="D11" t="s">
        <v>265</v>
      </c>
      <c r="E11" t="s">
        <v>243</v>
      </c>
      <c r="F11" t="str">
        <f t="shared" si="0"/>
        <v>AK - Architectural (Exterior Confined Space)</v>
      </c>
    </row>
    <row r="12" spans="1:6" x14ac:dyDescent="0.35">
      <c r="A12" t="s">
        <v>202</v>
      </c>
      <c r="B12" t="s">
        <v>263</v>
      </c>
      <c r="C12" t="s">
        <v>264</v>
      </c>
      <c r="D12" t="s">
        <v>266</v>
      </c>
      <c r="E12" t="s">
        <v>243</v>
      </c>
      <c r="F12" t="str">
        <f t="shared" si="0"/>
        <v>AK - Architectural (Exterior Emergency Egress)</v>
      </c>
    </row>
    <row r="13" spans="1:6" x14ac:dyDescent="0.35">
      <c r="A13" t="s">
        <v>202</v>
      </c>
      <c r="B13" t="s">
        <v>263</v>
      </c>
      <c r="C13" t="s">
        <v>264</v>
      </c>
      <c r="D13" t="s">
        <v>267</v>
      </c>
      <c r="E13" t="s">
        <v>243</v>
      </c>
      <c r="F13" t="str">
        <f t="shared" si="0"/>
        <v>AK - Architectural (Exterior Fall Protection)</v>
      </c>
    </row>
    <row r="14" spans="1:6" x14ac:dyDescent="0.35">
      <c r="A14" t="s">
        <v>202</v>
      </c>
      <c r="B14" t="s">
        <v>263</v>
      </c>
      <c r="C14" t="s">
        <v>264</v>
      </c>
      <c r="D14" t="s">
        <v>268</v>
      </c>
      <c r="E14" t="s">
        <v>243</v>
      </c>
      <c r="F14" t="str">
        <f t="shared" si="0"/>
        <v>AK - Architectural (Fire and Life Safety Plans)</v>
      </c>
    </row>
    <row r="15" spans="1:6" x14ac:dyDescent="0.35">
      <c r="A15" t="s">
        <v>202</v>
      </c>
      <c r="B15" t="s">
        <v>263</v>
      </c>
      <c r="C15" t="s">
        <v>264</v>
      </c>
      <c r="D15" t="s">
        <v>269</v>
      </c>
      <c r="E15" t="s">
        <v>243</v>
      </c>
      <c r="F15" t="str">
        <f t="shared" si="0"/>
        <v>AK - Architectural (Interior Confined Space)</v>
      </c>
    </row>
    <row r="16" spans="1:6" x14ac:dyDescent="0.35">
      <c r="A16" t="s">
        <v>202</v>
      </c>
      <c r="B16" t="s">
        <v>263</v>
      </c>
      <c r="C16" t="s">
        <v>264</v>
      </c>
      <c r="D16" t="s">
        <v>270</v>
      </c>
      <c r="E16" t="s">
        <v>243</v>
      </c>
      <c r="F16" t="str">
        <f t="shared" si="0"/>
        <v>AK - Architectural (Interior Emergency Egress)</v>
      </c>
    </row>
    <row r="17" spans="1:6" x14ac:dyDescent="0.35">
      <c r="A17" t="s">
        <v>202</v>
      </c>
      <c r="B17" t="s">
        <v>263</v>
      </c>
      <c r="C17" t="s">
        <v>264</v>
      </c>
      <c r="D17" t="s">
        <v>271</v>
      </c>
      <c r="E17" t="s">
        <v>243</v>
      </c>
      <c r="F17" t="str">
        <f t="shared" si="0"/>
        <v>AK - Architectural (Interior Fall Protection)</v>
      </c>
    </row>
    <row r="18" spans="1:6" x14ac:dyDescent="0.35">
      <c r="A18" t="s">
        <v>202</v>
      </c>
      <c r="B18" t="s">
        <v>254</v>
      </c>
      <c r="C18" t="s">
        <v>255</v>
      </c>
      <c r="D18" t="s">
        <v>272</v>
      </c>
      <c r="E18" t="s">
        <v>273</v>
      </c>
      <c r="F18" t="str">
        <f t="shared" si="0"/>
        <v>AI - Architectural (Architectural Background)</v>
      </c>
    </row>
    <row r="19" spans="1:6" x14ac:dyDescent="0.35">
      <c r="A19" t="s">
        <v>137</v>
      </c>
      <c r="B19" t="s">
        <v>274</v>
      </c>
      <c r="C19" t="s">
        <v>275</v>
      </c>
      <c r="D19" t="s">
        <v>276</v>
      </c>
      <c r="E19" t="s">
        <v>277</v>
      </c>
      <c r="F19" t="str">
        <f t="shared" si="0"/>
        <v>EJ - Electrical (Title and Lead
Sheets)</v>
      </c>
    </row>
    <row r="20" spans="1:6" x14ac:dyDescent="0.35">
      <c r="A20" t="s">
        <v>137</v>
      </c>
      <c r="B20" t="s">
        <v>278</v>
      </c>
      <c r="C20" t="s">
        <v>279</v>
      </c>
      <c r="D20" t="s">
        <v>280</v>
      </c>
      <c r="E20" t="s">
        <v>281</v>
      </c>
      <c r="F20" t="str">
        <f t="shared" si="0"/>
        <v>EL - Electrical (Exterior Lighting)</v>
      </c>
    </row>
    <row r="21" spans="1:6" x14ac:dyDescent="0.35">
      <c r="A21" t="s">
        <v>137</v>
      </c>
      <c r="B21" t="s">
        <v>278</v>
      </c>
      <c r="C21" t="s">
        <v>279</v>
      </c>
      <c r="D21" t="s">
        <v>282</v>
      </c>
      <c r="E21" t="s">
        <v>281</v>
      </c>
      <c r="F21" t="str">
        <f t="shared" si="0"/>
        <v>EL - Electrical (Interior Lighting)</v>
      </c>
    </row>
    <row r="22" spans="1:6" x14ac:dyDescent="0.35">
      <c r="A22" t="s">
        <v>137</v>
      </c>
      <c r="B22" t="s">
        <v>283</v>
      </c>
      <c r="C22" t="s">
        <v>284</v>
      </c>
      <c r="D22" t="s">
        <v>285</v>
      </c>
      <c r="E22" t="s">
        <v>286</v>
      </c>
      <c r="F22" t="str">
        <f t="shared" si="0"/>
        <v>EP - Electrical (Exterior 120 208 V Power plans)</v>
      </c>
    </row>
    <row r="23" spans="1:6" x14ac:dyDescent="0.35">
      <c r="A23" t="s">
        <v>137</v>
      </c>
      <c r="B23" t="s">
        <v>283</v>
      </c>
      <c r="C23" t="s">
        <v>284</v>
      </c>
      <c r="D23" t="s">
        <v>287</v>
      </c>
      <c r="E23" t="s">
        <v>286</v>
      </c>
      <c r="F23" t="str">
        <f t="shared" si="0"/>
        <v>EP - Electrical (Interior 120 208 V Power plans)</v>
      </c>
    </row>
    <row r="24" spans="1:6" x14ac:dyDescent="0.35">
      <c r="A24" t="s">
        <v>137</v>
      </c>
      <c r="B24" t="s">
        <v>283</v>
      </c>
      <c r="C24" t="s">
        <v>284</v>
      </c>
      <c r="D24" t="s">
        <v>288</v>
      </c>
      <c r="E24" t="s">
        <v>289</v>
      </c>
      <c r="F24" t="str">
        <f t="shared" si="0"/>
        <v>EP - Electrical (Exterior 277 480 V Power plans)</v>
      </c>
    </row>
    <row r="25" spans="1:6" x14ac:dyDescent="0.35">
      <c r="A25" t="s">
        <v>137</v>
      </c>
      <c r="B25" t="s">
        <v>283</v>
      </c>
      <c r="C25" t="s">
        <v>284</v>
      </c>
      <c r="D25" t="s">
        <v>290</v>
      </c>
      <c r="E25" t="s">
        <v>289</v>
      </c>
      <c r="F25" t="str">
        <f t="shared" si="0"/>
        <v>EP - Electrical (Interior 277 480 V Power plans)</v>
      </c>
    </row>
    <row r="26" spans="1:6" x14ac:dyDescent="0.35">
      <c r="A26" t="s">
        <v>137</v>
      </c>
      <c r="B26" t="s">
        <v>291</v>
      </c>
      <c r="C26" t="s">
        <v>292</v>
      </c>
      <c r="D26" t="s">
        <v>293</v>
      </c>
      <c r="E26" t="s">
        <v>294</v>
      </c>
      <c r="F26" t="str">
        <f t="shared" si="0"/>
        <v>ES - Electrical (Exterior Substations
and Over 600V Power)</v>
      </c>
    </row>
    <row r="27" spans="1:6" x14ac:dyDescent="0.35">
      <c r="A27" t="s">
        <v>137</v>
      </c>
      <c r="B27" t="s">
        <v>291</v>
      </c>
      <c r="C27" t="s">
        <v>292</v>
      </c>
      <c r="D27" t="s">
        <v>295</v>
      </c>
      <c r="E27" t="s">
        <v>294</v>
      </c>
      <c r="F27" t="str">
        <f t="shared" si="0"/>
        <v>ES - Electrical (Interior Substations
and Over 600V Power)</v>
      </c>
    </row>
    <row r="28" spans="1:6" x14ac:dyDescent="0.35">
      <c r="A28" t="s">
        <v>137</v>
      </c>
      <c r="B28" t="s">
        <v>296</v>
      </c>
      <c r="C28" t="s">
        <v>297</v>
      </c>
      <c r="D28" t="s">
        <v>298</v>
      </c>
      <c r="E28" t="s">
        <v>299</v>
      </c>
      <c r="F28" t="str">
        <f t="shared" si="0"/>
        <v>EK - Electrical (Exterior Wiring Diagrams)</v>
      </c>
    </row>
    <row r="29" spans="1:6" x14ac:dyDescent="0.35">
      <c r="A29" t="s">
        <v>137</v>
      </c>
      <c r="B29" t="s">
        <v>296</v>
      </c>
      <c r="C29" t="s">
        <v>297</v>
      </c>
      <c r="D29" t="s">
        <v>300</v>
      </c>
      <c r="E29" t="s">
        <v>299</v>
      </c>
      <c r="F29" t="str">
        <f t="shared" si="0"/>
        <v>EK - Electrical (Interior Wiring Diagrams)</v>
      </c>
    </row>
    <row r="30" spans="1:6" x14ac:dyDescent="0.35">
      <c r="A30" t="s">
        <v>137</v>
      </c>
      <c r="B30" t="s">
        <v>301</v>
      </c>
      <c r="C30" t="s">
        <v>302</v>
      </c>
      <c r="D30" t="s">
        <v>303</v>
      </c>
      <c r="E30" t="s">
        <v>304</v>
      </c>
      <c r="F30" t="str">
        <f t="shared" si="0"/>
        <v>TY - Electrical (Access Control Systems)</v>
      </c>
    </row>
    <row r="31" spans="1:6" x14ac:dyDescent="0.35">
      <c r="A31" t="s">
        <v>305</v>
      </c>
      <c r="B31" t="s">
        <v>306</v>
      </c>
      <c r="C31" t="s">
        <v>307</v>
      </c>
      <c r="D31" t="s">
        <v>308</v>
      </c>
      <c r="E31" t="s">
        <v>304</v>
      </c>
      <c r="F31" t="str">
        <f t="shared" si="0"/>
        <v>TN - Telecommunications (Exterior Wiring for all Communications)</v>
      </c>
    </row>
    <row r="32" spans="1:6" x14ac:dyDescent="0.35">
      <c r="A32" t="s">
        <v>309</v>
      </c>
      <c r="B32" t="s">
        <v>310</v>
      </c>
      <c r="C32" t="s">
        <v>311</v>
      </c>
      <c r="D32" t="s">
        <v>312</v>
      </c>
      <c r="E32" t="s">
        <v>304</v>
      </c>
      <c r="F32" t="str">
        <f t="shared" si="0"/>
        <v>FA - Fire Protection (Fire Alarm Systems)</v>
      </c>
    </row>
    <row r="33" spans="1:6" x14ac:dyDescent="0.35">
      <c r="A33" t="s">
        <v>305</v>
      </c>
      <c r="B33" t="s">
        <v>306</v>
      </c>
      <c r="C33" t="s">
        <v>307</v>
      </c>
      <c r="D33" t="s">
        <v>313</v>
      </c>
      <c r="E33" t="s">
        <v>304</v>
      </c>
      <c r="F33" t="str">
        <f t="shared" si="0"/>
        <v>TN - Telecommunications (Interior Wiring for Communications)</v>
      </c>
    </row>
    <row r="34" spans="1:6" x14ac:dyDescent="0.35">
      <c r="A34" t="s">
        <v>137</v>
      </c>
      <c r="B34" t="s">
        <v>296</v>
      </c>
      <c r="C34" t="s">
        <v>314</v>
      </c>
      <c r="D34" t="s">
        <v>315</v>
      </c>
      <c r="E34" t="s">
        <v>316</v>
      </c>
      <c r="F34" t="str">
        <f t="shared" si="0"/>
        <v>EK - Electrical (Exterior Electrical Hazardous Area Classification)</v>
      </c>
    </row>
    <row r="35" spans="1:6" x14ac:dyDescent="0.35">
      <c r="A35" t="s">
        <v>137</v>
      </c>
      <c r="B35" t="s">
        <v>296</v>
      </c>
      <c r="C35" t="s">
        <v>314</v>
      </c>
      <c r="D35" t="s">
        <v>317</v>
      </c>
      <c r="E35" t="s">
        <v>316</v>
      </c>
      <c r="F35" t="str">
        <f t="shared" si="0"/>
        <v>EK - Electrical (Interior Electrical
Hazardous Area Classification)</v>
      </c>
    </row>
    <row r="36" spans="1:6" x14ac:dyDescent="0.35">
      <c r="A36" t="s">
        <v>102</v>
      </c>
      <c r="B36" t="s">
        <v>318</v>
      </c>
      <c r="C36" t="s">
        <v>319</v>
      </c>
      <c r="D36" t="s">
        <v>249</v>
      </c>
      <c r="E36" t="s">
        <v>320</v>
      </c>
      <c r="F36" t="str">
        <f t="shared" si="0"/>
        <v>MJ - Mechanical (Title and Lead Sheets)</v>
      </c>
    </row>
    <row r="37" spans="1:6" x14ac:dyDescent="0.35">
      <c r="A37" t="s">
        <v>102</v>
      </c>
      <c r="B37" t="s">
        <v>321</v>
      </c>
      <c r="C37" t="s">
        <v>319</v>
      </c>
      <c r="D37" t="s">
        <v>322</v>
      </c>
      <c r="E37" t="s">
        <v>323</v>
      </c>
      <c r="F37" t="str">
        <f t="shared" si="0"/>
        <v>MH - Mechanical (HVAC Control System Architecture)</v>
      </c>
    </row>
    <row r="38" spans="1:6" x14ac:dyDescent="0.35">
      <c r="A38" t="s">
        <v>102</v>
      </c>
      <c r="B38" t="s">
        <v>321</v>
      </c>
      <c r="C38" t="s">
        <v>319</v>
      </c>
      <c r="D38" t="s">
        <v>324</v>
      </c>
      <c r="E38" t="s">
        <v>325</v>
      </c>
      <c r="F38" t="str">
        <f t="shared" si="0"/>
        <v>MH - Mechanical (HVAC Control Power Distribution)</v>
      </c>
    </row>
    <row r="39" spans="1:6" x14ac:dyDescent="0.35">
      <c r="A39" t="s">
        <v>102</v>
      </c>
      <c r="B39" t="s">
        <v>321</v>
      </c>
      <c r="C39" t="s">
        <v>319</v>
      </c>
      <c r="D39" t="s">
        <v>326</v>
      </c>
      <c r="E39" t="s">
        <v>327</v>
      </c>
      <c r="F39" t="str">
        <f t="shared" si="0"/>
        <v>MH - Mechanical (HVAC Control Panel Construction)</v>
      </c>
    </row>
    <row r="40" spans="1:6" x14ac:dyDescent="0.35">
      <c r="A40" t="s">
        <v>102</v>
      </c>
      <c r="B40" t="s">
        <v>321</v>
      </c>
      <c r="C40" t="s">
        <v>319</v>
      </c>
      <c r="D40" t="s">
        <v>328</v>
      </c>
      <c r="E40" t="s">
        <v>329</v>
      </c>
      <c r="F40" t="str">
        <f t="shared" si="0"/>
        <v>MH - Mechanical (HVAC Control Wiring Typicals)</v>
      </c>
    </row>
    <row r="41" spans="1:6" x14ac:dyDescent="0.35">
      <c r="A41" t="s">
        <v>102</v>
      </c>
      <c r="B41" t="s">
        <v>321</v>
      </c>
      <c r="C41" t="s">
        <v>319</v>
      </c>
      <c r="D41" t="s">
        <v>330</v>
      </c>
      <c r="E41" t="s">
        <v>331</v>
      </c>
      <c r="F41" t="str">
        <f t="shared" si="0"/>
        <v>MH - Mechanical (HVAC Control
Electrical Installation Details)</v>
      </c>
    </row>
    <row r="42" spans="1:6" x14ac:dyDescent="0.35">
      <c r="A42" t="s">
        <v>102</v>
      </c>
      <c r="B42" t="s">
        <v>321</v>
      </c>
      <c r="C42" t="s">
        <v>319</v>
      </c>
      <c r="D42" t="s">
        <v>332</v>
      </c>
      <c r="E42" t="s">
        <v>333</v>
      </c>
      <c r="F42" t="str">
        <f t="shared" si="0"/>
        <v>MH - Mechanical (HVAC Control Device Mounting Details)</v>
      </c>
    </row>
    <row r="43" spans="1:6" x14ac:dyDescent="0.35">
      <c r="A43" t="s">
        <v>102</v>
      </c>
      <c r="B43" t="s">
        <v>321</v>
      </c>
      <c r="C43" t="s">
        <v>319</v>
      </c>
      <c r="D43" t="s">
        <v>334</v>
      </c>
      <c r="E43" t="s">
        <v>335</v>
      </c>
      <c r="F43" t="str">
        <f t="shared" si="0"/>
        <v>MH - Mechanical (HVAC Control Instrument, Electrical, and
Pneumatic Locations)</v>
      </c>
    </row>
    <row r="44" spans="1:6" x14ac:dyDescent="0.35">
      <c r="A44" t="s">
        <v>102</v>
      </c>
      <c r="B44" t="s">
        <v>318</v>
      </c>
      <c r="C44" t="s">
        <v>336</v>
      </c>
      <c r="D44" t="s">
        <v>249</v>
      </c>
      <c r="E44" t="s">
        <v>337</v>
      </c>
      <c r="F44" t="str">
        <f t="shared" si="0"/>
        <v>MJ - Mechanical (Title and Lead Sheets)</v>
      </c>
    </row>
    <row r="45" spans="1:6" x14ac:dyDescent="0.35">
      <c r="A45" t="s">
        <v>102</v>
      </c>
      <c r="B45" t="s">
        <v>338</v>
      </c>
      <c r="C45" t="s">
        <v>339</v>
      </c>
      <c r="D45" t="s">
        <v>340</v>
      </c>
      <c r="E45" t="s">
        <v>341</v>
      </c>
      <c r="F45" t="str">
        <f t="shared" si="0"/>
        <v>MP - Mechanical (Exterior Service Piping)</v>
      </c>
    </row>
    <row r="46" spans="1:6" x14ac:dyDescent="0.35">
      <c r="A46" t="s">
        <v>102</v>
      </c>
      <c r="B46" t="s">
        <v>338</v>
      </c>
      <c r="C46" t="s">
        <v>339</v>
      </c>
      <c r="D46" t="s">
        <v>342</v>
      </c>
      <c r="E46" t="s">
        <v>341</v>
      </c>
      <c r="F46" t="str">
        <f t="shared" si="0"/>
        <v>MP - Mechanical (Interior Service Piping)</v>
      </c>
    </row>
    <row r="47" spans="1:6" x14ac:dyDescent="0.35">
      <c r="A47" t="s">
        <v>203</v>
      </c>
      <c r="B47" t="s">
        <v>343</v>
      </c>
      <c r="C47" t="s">
        <v>344</v>
      </c>
      <c r="D47" t="s">
        <v>345</v>
      </c>
      <c r="E47" t="s">
        <v>346</v>
      </c>
      <c r="F47" t="str">
        <f t="shared" si="0"/>
        <v>DP - Process (Leak Detection and Repair)</v>
      </c>
    </row>
    <row r="48" spans="1:6" x14ac:dyDescent="0.35">
      <c r="A48" t="s">
        <v>203</v>
      </c>
      <c r="B48" t="s">
        <v>343</v>
      </c>
      <c r="C48" t="s">
        <v>344</v>
      </c>
      <c r="D48" t="s">
        <v>347</v>
      </c>
      <c r="E48" t="s">
        <v>348</v>
      </c>
      <c r="F48" t="str">
        <f t="shared" si="0"/>
        <v>DP - Process (Exterior Process Piping)</v>
      </c>
    </row>
    <row r="49" spans="1:6" x14ac:dyDescent="0.35">
      <c r="A49" t="s">
        <v>203</v>
      </c>
      <c r="B49" t="s">
        <v>343</v>
      </c>
      <c r="C49" t="s">
        <v>344</v>
      </c>
      <c r="D49" t="s">
        <v>349</v>
      </c>
      <c r="E49" t="s">
        <v>348</v>
      </c>
      <c r="F49" t="str">
        <f t="shared" si="0"/>
        <v>DP - Process (Interior Process Piping)</v>
      </c>
    </row>
    <row r="50" spans="1:6" x14ac:dyDescent="0.35">
      <c r="A50" t="s">
        <v>203</v>
      </c>
      <c r="B50" t="s">
        <v>350</v>
      </c>
      <c r="C50" t="s">
        <v>351</v>
      </c>
      <c r="D50" t="s">
        <v>352</v>
      </c>
      <c r="E50" t="s">
        <v>353</v>
      </c>
      <c r="F50" t="str">
        <f t="shared" si="0"/>
        <v>DR - Process (Interior Sewers and
Process Waste Piping Systems)</v>
      </c>
    </row>
    <row r="51" spans="1:6" x14ac:dyDescent="0.35">
      <c r="A51" t="s">
        <v>102</v>
      </c>
      <c r="B51" t="s">
        <v>321</v>
      </c>
      <c r="C51" t="s">
        <v>319</v>
      </c>
      <c r="D51" t="s">
        <v>354</v>
      </c>
      <c r="E51" t="s">
        <v>355</v>
      </c>
      <c r="F51" t="str">
        <f t="shared" si="0"/>
        <v>MH - Mechanical (Air Handling Systems)</v>
      </c>
    </row>
    <row r="52" spans="1:6" x14ac:dyDescent="0.35">
      <c r="A52" t="s">
        <v>102</v>
      </c>
      <c r="B52" t="s">
        <v>356</v>
      </c>
      <c r="C52" t="s">
        <v>357</v>
      </c>
      <c r="D52" t="s">
        <v>358</v>
      </c>
      <c r="E52" t="s">
        <v>359</v>
      </c>
      <c r="F52" t="str">
        <f t="shared" si="0"/>
        <v>MI - Mechanical (HVAC
Instrumentation)</v>
      </c>
    </row>
    <row r="53" spans="1:6" x14ac:dyDescent="0.35">
      <c r="A53" t="s">
        <v>203</v>
      </c>
      <c r="B53" t="s">
        <v>360</v>
      </c>
      <c r="C53" t="s">
        <v>361</v>
      </c>
      <c r="D53" t="s">
        <v>362</v>
      </c>
      <c r="E53" t="s">
        <v>363</v>
      </c>
      <c r="F53" t="str">
        <f t="shared" si="0"/>
        <v>DI - Process (Flowsheets and Piping and
Instrumentation Diagram)</v>
      </c>
    </row>
    <row r="54" spans="1:6" x14ac:dyDescent="0.35">
      <c r="A54" t="s">
        <v>309</v>
      </c>
      <c r="B54" t="s">
        <v>364</v>
      </c>
      <c r="C54" t="s">
        <v>365</v>
      </c>
      <c r="D54" t="s">
        <v>309</v>
      </c>
      <c r="E54" t="s">
        <v>366</v>
      </c>
      <c r="F54" t="str">
        <f t="shared" si="0"/>
        <v>FX - Fire Protection (Fire Protection)</v>
      </c>
    </row>
    <row r="55" spans="1:6" x14ac:dyDescent="0.35">
      <c r="A55" t="s">
        <v>102</v>
      </c>
      <c r="B55" t="s">
        <v>367</v>
      </c>
      <c r="C55" t="s">
        <v>368</v>
      </c>
      <c r="D55" t="s">
        <v>369</v>
      </c>
      <c r="E55" t="s">
        <v>370</v>
      </c>
      <c r="F55" t="str">
        <f t="shared" si="0"/>
        <v>MS - Mechanical (Cathodic Protection
for Piping and Equipment)</v>
      </c>
    </row>
    <row r="56" spans="1:6" x14ac:dyDescent="0.35">
      <c r="A56" t="s">
        <v>203</v>
      </c>
      <c r="B56" t="s">
        <v>360</v>
      </c>
      <c r="C56" t="s">
        <v>361</v>
      </c>
      <c r="D56" t="s">
        <v>371</v>
      </c>
      <c r="E56" t="s">
        <v>372</v>
      </c>
      <c r="F56" t="str">
        <f t="shared" si="0"/>
        <v>DI - Process (Process Engineering
Flow Diagram (Internal))</v>
      </c>
    </row>
    <row r="57" spans="1:6" x14ac:dyDescent="0.35">
      <c r="A57" t="s">
        <v>203</v>
      </c>
      <c r="B57" t="s">
        <v>373</v>
      </c>
      <c r="C57" t="s">
        <v>374</v>
      </c>
      <c r="D57" t="s">
        <v>249</v>
      </c>
      <c r="E57" t="s">
        <v>375</v>
      </c>
      <c r="F57" t="str">
        <f t="shared" si="0"/>
        <v>DJ - Process (Title and Lead Sheets)</v>
      </c>
    </row>
    <row r="58" spans="1:6" x14ac:dyDescent="0.35">
      <c r="A58" t="s">
        <v>203</v>
      </c>
      <c r="B58" t="s">
        <v>376</v>
      </c>
      <c r="C58" t="s">
        <v>377</v>
      </c>
      <c r="D58" t="s">
        <v>378</v>
      </c>
      <c r="E58" t="s">
        <v>379</v>
      </c>
      <c r="F58" t="str">
        <f t="shared" si="0"/>
        <v>DE - Process (Power Distribution, Wire Numbers, and Panel Numbers)</v>
      </c>
    </row>
    <row r="59" spans="1:6" x14ac:dyDescent="0.35">
      <c r="A59" t="s">
        <v>203</v>
      </c>
      <c r="B59" t="s">
        <v>376</v>
      </c>
      <c r="C59" t="s">
        <v>377</v>
      </c>
      <c r="D59" t="s">
        <v>380</v>
      </c>
      <c r="E59" t="s">
        <v>381</v>
      </c>
      <c r="F59" t="str">
        <f t="shared" si="0"/>
        <v>DE - Process (Electrical Installation Details)</v>
      </c>
    </row>
    <row r="60" spans="1:6" x14ac:dyDescent="0.35">
      <c r="A60" t="s">
        <v>203</v>
      </c>
      <c r="B60" t="s">
        <v>376</v>
      </c>
      <c r="C60" t="s">
        <v>377</v>
      </c>
      <c r="D60" t="s">
        <v>382</v>
      </c>
      <c r="E60" t="s">
        <v>383</v>
      </c>
      <c r="F60" t="str">
        <f t="shared" si="0"/>
        <v>DE - Process (Electrical Raceway)</v>
      </c>
    </row>
    <row r="61" spans="1:6" x14ac:dyDescent="0.35">
      <c r="A61" t="s">
        <v>203</v>
      </c>
      <c r="B61" t="s">
        <v>384</v>
      </c>
      <c r="C61" t="s">
        <v>385</v>
      </c>
      <c r="D61" t="s">
        <v>386</v>
      </c>
      <c r="E61" t="s">
        <v>387</v>
      </c>
      <c r="F61" t="str">
        <f t="shared" si="0"/>
        <v>DV - Process (Pneumatic Control Loops)</v>
      </c>
    </row>
    <row r="62" spans="1:6" x14ac:dyDescent="0.35">
      <c r="A62" t="s">
        <v>203</v>
      </c>
      <c r="B62" t="s">
        <v>384</v>
      </c>
      <c r="C62" t="s">
        <v>385</v>
      </c>
      <c r="D62" t="s">
        <v>388</v>
      </c>
      <c r="E62" t="s">
        <v>389</v>
      </c>
      <c r="F62" t="str">
        <f t="shared" si="0"/>
        <v>DV - Process (Pneumatic Raceway)</v>
      </c>
    </row>
    <row r="63" spans="1:6" x14ac:dyDescent="0.35">
      <c r="A63" t="s">
        <v>203</v>
      </c>
      <c r="B63" t="s">
        <v>390</v>
      </c>
      <c r="C63" t="s">
        <v>203</v>
      </c>
      <c r="D63" t="s">
        <v>391</v>
      </c>
      <c r="E63" t="s">
        <v>392</v>
      </c>
      <c r="F63" t="str">
        <f t="shared" si="0"/>
        <v>DK - Process (Instrumentation Mechanical Installation Details)</v>
      </c>
    </row>
    <row r="64" spans="1:6" x14ac:dyDescent="0.35">
      <c r="A64" t="s">
        <v>203</v>
      </c>
      <c r="B64" t="s">
        <v>390</v>
      </c>
      <c r="C64" t="s">
        <v>203</v>
      </c>
      <c r="D64" t="s">
        <v>393</v>
      </c>
      <c r="E64" t="s">
        <v>394</v>
      </c>
      <c r="F64" t="str">
        <f t="shared" si="0"/>
        <v>DK - Process (System Architecture)</v>
      </c>
    </row>
    <row r="65" spans="1:6" x14ac:dyDescent="0.35">
      <c r="A65" t="s">
        <v>203</v>
      </c>
      <c r="B65" t="s">
        <v>390</v>
      </c>
      <c r="C65" t="s">
        <v>203</v>
      </c>
      <c r="D65" t="s">
        <v>395</v>
      </c>
      <c r="E65" t="s">
        <v>396</v>
      </c>
      <c r="F65" t="str">
        <f t="shared" si="0"/>
        <v>DK - Process (Panel Construction Drawings)</v>
      </c>
    </row>
    <row r="66" spans="1:6" x14ac:dyDescent="0.35">
      <c r="A66" t="s">
        <v>203</v>
      </c>
      <c r="B66" t="s">
        <v>390</v>
      </c>
      <c r="C66" t="s">
        <v>203</v>
      </c>
      <c r="D66" t="s">
        <v>397</v>
      </c>
      <c r="E66" t="s">
        <v>398</v>
      </c>
      <c r="F66" t="str">
        <f t="shared" si="0"/>
        <v>DK - Process (System Configuration)</v>
      </c>
    </row>
    <row r="67" spans="1:6" x14ac:dyDescent="0.35">
      <c r="A67" t="s">
        <v>203</v>
      </c>
      <c r="B67" t="s">
        <v>390</v>
      </c>
      <c r="C67" t="s">
        <v>203</v>
      </c>
      <c r="D67" t="s">
        <v>399</v>
      </c>
      <c r="E67" t="s">
        <v>400</v>
      </c>
      <c r="F67" t="str">
        <f t="shared" ref="F67:F97" si="1">_xlfn.CONCAT(B67, " - ", A67, " (", D67, ")")</f>
        <v>DK - Process (Input Output Wiring)</v>
      </c>
    </row>
    <row r="68" spans="1:6" x14ac:dyDescent="0.35">
      <c r="A68" t="s">
        <v>203</v>
      </c>
      <c r="B68" t="s">
        <v>390</v>
      </c>
      <c r="C68" t="s">
        <v>203</v>
      </c>
      <c r="D68" t="s">
        <v>401</v>
      </c>
      <c r="E68" t="s">
        <v>402</v>
      </c>
      <c r="F68" t="str">
        <f t="shared" si="1"/>
        <v>DK - Process (Serial Parallel
Device Interface and Cabling)</v>
      </c>
    </row>
    <row r="69" spans="1:6" x14ac:dyDescent="0.35">
      <c r="A69" t="s">
        <v>203</v>
      </c>
      <c r="B69" t="s">
        <v>403</v>
      </c>
      <c r="C69" t="s">
        <v>404</v>
      </c>
      <c r="D69" t="s">
        <v>405</v>
      </c>
      <c r="E69" t="s">
        <v>406</v>
      </c>
      <c r="F69" t="str">
        <f t="shared" si="1"/>
        <v>DQ - Process (Loop Typical Wiring)</v>
      </c>
    </row>
    <row r="70" spans="1:6" x14ac:dyDescent="0.35">
      <c r="A70" t="s">
        <v>131</v>
      </c>
      <c r="B70" t="s">
        <v>407</v>
      </c>
      <c r="C70" t="s">
        <v>408</v>
      </c>
      <c r="D70" t="s">
        <v>249</v>
      </c>
      <c r="E70" t="s">
        <v>409</v>
      </c>
      <c r="F70" t="str">
        <f t="shared" si="1"/>
        <v>SJ - Structural (Title and Lead Sheets)</v>
      </c>
    </row>
    <row r="71" spans="1:6" x14ac:dyDescent="0.35">
      <c r="A71" t="s">
        <v>131</v>
      </c>
      <c r="B71" t="s">
        <v>236</v>
      </c>
      <c r="C71" t="s">
        <v>410</v>
      </c>
      <c r="D71" t="s">
        <v>411</v>
      </c>
      <c r="E71" t="s">
        <v>412</v>
      </c>
      <c r="F71" t="str">
        <f t="shared" si="1"/>
        <v>SF - Structural (Building Structural Drawings)</v>
      </c>
    </row>
    <row r="72" spans="1:6" x14ac:dyDescent="0.35">
      <c r="A72" t="s">
        <v>131</v>
      </c>
      <c r="B72" t="s">
        <v>236</v>
      </c>
      <c r="C72" t="s">
        <v>410</v>
      </c>
      <c r="D72" t="s">
        <v>413</v>
      </c>
      <c r="E72" t="s">
        <v>414</v>
      </c>
      <c r="F72" t="str">
        <f t="shared" si="1"/>
        <v>SF - Structural (Exterior Structural Elements for Waste Treatment)</v>
      </c>
    </row>
    <row r="73" spans="1:6" x14ac:dyDescent="0.35">
      <c r="A73" t="s">
        <v>205</v>
      </c>
      <c r="B73" t="s">
        <v>415</v>
      </c>
      <c r="C73" t="s">
        <v>416</v>
      </c>
      <c r="D73" t="s">
        <v>417</v>
      </c>
      <c r="E73" t="s">
        <v>418</v>
      </c>
      <c r="F73" t="str">
        <f t="shared" si="1"/>
        <v>PS - Plumbing (Sewers and Process Waste Piping Systems)</v>
      </c>
    </row>
    <row r="74" spans="1:6" x14ac:dyDescent="0.35">
      <c r="A74" t="s">
        <v>419</v>
      </c>
      <c r="B74" t="s">
        <v>420</v>
      </c>
      <c r="C74" t="s">
        <v>421</v>
      </c>
      <c r="D74" t="s">
        <v>422</v>
      </c>
      <c r="E74" t="s">
        <v>423</v>
      </c>
      <c r="F74" t="str">
        <f t="shared" si="1"/>
        <v>VU - Survey/Mapping (Surveys)</v>
      </c>
    </row>
    <row r="75" spans="1:6" x14ac:dyDescent="0.35">
      <c r="A75" t="s">
        <v>120</v>
      </c>
      <c r="B75" t="s">
        <v>424</v>
      </c>
      <c r="C75" t="s">
        <v>425</v>
      </c>
      <c r="D75" t="s">
        <v>426</v>
      </c>
      <c r="E75" t="s">
        <v>427</v>
      </c>
      <c r="F75" t="str">
        <f t="shared" si="1"/>
        <v>CP - Civil (Parking Lots)</v>
      </c>
    </row>
    <row r="76" spans="1:6" x14ac:dyDescent="0.35">
      <c r="A76" t="s">
        <v>120</v>
      </c>
      <c r="B76" t="s">
        <v>428</v>
      </c>
      <c r="C76" t="s">
        <v>429</v>
      </c>
      <c r="D76" t="s">
        <v>430</v>
      </c>
      <c r="E76" t="s">
        <v>431</v>
      </c>
      <c r="F76" t="str">
        <f t="shared" si="1"/>
        <v>CI - Civil (Other Structures)</v>
      </c>
    </row>
    <row r="77" spans="1:6" x14ac:dyDescent="0.35">
      <c r="A77" t="s">
        <v>120</v>
      </c>
      <c r="B77" t="s">
        <v>432</v>
      </c>
      <c r="C77" t="s">
        <v>433</v>
      </c>
      <c r="D77" t="s">
        <v>434</v>
      </c>
      <c r="E77" t="s">
        <v>435</v>
      </c>
      <c r="F77" t="str">
        <f t="shared" si="1"/>
        <v>CS - Civil (Structural Elements for Non-Building Structures)</v>
      </c>
    </row>
    <row r="78" spans="1:6" x14ac:dyDescent="0.35">
      <c r="A78" t="s">
        <v>436</v>
      </c>
      <c r="B78" t="s">
        <v>437</v>
      </c>
      <c r="C78" t="s">
        <v>438</v>
      </c>
      <c r="D78" t="s">
        <v>439</v>
      </c>
      <c r="E78" t="s">
        <v>440</v>
      </c>
      <c r="F78" t="str">
        <f t="shared" si="1"/>
        <v>XK - Other Disciplines (Undetermined Temp Discipline)</v>
      </c>
    </row>
    <row r="79" spans="1:6" x14ac:dyDescent="0.35">
      <c r="A79" t="s">
        <v>436</v>
      </c>
      <c r="B79" t="s">
        <v>437</v>
      </c>
      <c r="C79" t="s">
        <v>438</v>
      </c>
      <c r="D79" t="s">
        <v>441</v>
      </c>
      <c r="E79" t="s">
        <v>442</v>
      </c>
      <c r="F79" t="str">
        <f t="shared" si="1"/>
        <v>XK - Other Disciplines (Invalid)</v>
      </c>
    </row>
    <row r="80" spans="1:6" x14ac:dyDescent="0.35">
      <c r="A80" t="s">
        <v>436</v>
      </c>
      <c r="B80" t="s">
        <v>437</v>
      </c>
      <c r="C80" t="s">
        <v>438</v>
      </c>
      <c r="D80" t="s">
        <v>441</v>
      </c>
      <c r="E80" t="s">
        <v>443</v>
      </c>
      <c r="F80" t="str">
        <f t="shared" si="1"/>
        <v>XK - Other Disciplines (Invalid)</v>
      </c>
    </row>
    <row r="81" spans="1:6" x14ac:dyDescent="0.35">
      <c r="A81" t="s">
        <v>102</v>
      </c>
      <c r="B81" t="s">
        <v>356</v>
      </c>
      <c r="C81" t="s">
        <v>357</v>
      </c>
      <c r="D81" t="s">
        <v>144</v>
      </c>
      <c r="E81" t="s">
        <v>444</v>
      </c>
      <c r="F81" t="str">
        <f t="shared" si="1"/>
        <v>MI - Mechanical (Instrumentation)</v>
      </c>
    </row>
    <row r="82" spans="1:6" x14ac:dyDescent="0.35">
      <c r="A82" t="s">
        <v>102</v>
      </c>
      <c r="B82" t="s">
        <v>356</v>
      </c>
      <c r="C82" t="s">
        <v>357</v>
      </c>
      <c r="D82" t="s">
        <v>144</v>
      </c>
      <c r="E82" t="s">
        <v>445</v>
      </c>
      <c r="F82" t="str">
        <f t="shared" si="1"/>
        <v>MI - Mechanical (Instrumentation)</v>
      </c>
    </row>
    <row r="83" spans="1:6" x14ac:dyDescent="0.35">
      <c r="A83" t="s">
        <v>102</v>
      </c>
      <c r="B83" t="s">
        <v>356</v>
      </c>
      <c r="C83" t="s">
        <v>357</v>
      </c>
      <c r="D83" t="s">
        <v>144</v>
      </c>
      <c r="E83" t="s">
        <v>446</v>
      </c>
      <c r="F83" t="str">
        <f t="shared" si="1"/>
        <v>MI - Mechanical (Instrumentation)</v>
      </c>
    </row>
    <row r="84" spans="1:6" x14ac:dyDescent="0.35">
      <c r="A84" t="s">
        <v>102</v>
      </c>
      <c r="B84" t="s">
        <v>437</v>
      </c>
      <c r="C84" t="s">
        <v>357</v>
      </c>
      <c r="D84" t="s">
        <v>144</v>
      </c>
      <c r="E84" t="s">
        <v>447</v>
      </c>
      <c r="F84" t="str">
        <f t="shared" si="1"/>
        <v>XK - Mechanical (Instrumentation)</v>
      </c>
    </row>
    <row r="85" spans="1:6" x14ac:dyDescent="0.35">
      <c r="A85" t="s">
        <v>102</v>
      </c>
      <c r="B85" t="s">
        <v>356</v>
      </c>
      <c r="C85" t="s">
        <v>357</v>
      </c>
      <c r="D85" t="s">
        <v>144</v>
      </c>
      <c r="E85" t="s">
        <v>448</v>
      </c>
      <c r="F85" t="str">
        <f t="shared" si="1"/>
        <v>MI - Mechanical (Instrumentation)</v>
      </c>
    </row>
    <row r="86" spans="1:6" x14ac:dyDescent="0.35">
      <c r="A86" t="s">
        <v>102</v>
      </c>
      <c r="B86" t="s">
        <v>356</v>
      </c>
      <c r="C86" t="s">
        <v>357</v>
      </c>
      <c r="D86" t="s">
        <v>144</v>
      </c>
      <c r="E86" t="s">
        <v>449</v>
      </c>
      <c r="F86" t="str">
        <f t="shared" si="1"/>
        <v>MI - Mechanical (Instrumentation)</v>
      </c>
    </row>
    <row r="87" spans="1:6" x14ac:dyDescent="0.35">
      <c r="A87" t="s">
        <v>102</v>
      </c>
      <c r="B87" t="s">
        <v>356</v>
      </c>
      <c r="C87" t="s">
        <v>357</v>
      </c>
      <c r="D87" t="s">
        <v>144</v>
      </c>
      <c r="E87" t="s">
        <v>450</v>
      </c>
      <c r="F87" t="str">
        <f t="shared" si="1"/>
        <v>MI - Mechanical (Instrumentation)</v>
      </c>
    </row>
    <row r="88" spans="1:6" x14ac:dyDescent="0.35">
      <c r="A88" t="s">
        <v>102</v>
      </c>
      <c r="B88" t="s">
        <v>356</v>
      </c>
      <c r="C88" t="s">
        <v>357</v>
      </c>
      <c r="D88" t="s">
        <v>144</v>
      </c>
      <c r="E88" t="s">
        <v>451</v>
      </c>
      <c r="F88" t="str">
        <f t="shared" si="1"/>
        <v>MI - Mechanical (Instrumentation)</v>
      </c>
    </row>
    <row r="89" spans="1:6" x14ac:dyDescent="0.35">
      <c r="A89" t="s">
        <v>436</v>
      </c>
      <c r="B89" t="s">
        <v>437</v>
      </c>
      <c r="C89" t="s">
        <v>438</v>
      </c>
      <c r="D89" t="s">
        <v>441</v>
      </c>
      <c r="E89" t="s">
        <v>452</v>
      </c>
      <c r="F89" t="str">
        <f t="shared" si="1"/>
        <v>XK - Other Disciplines (Invalid)</v>
      </c>
    </row>
    <row r="90" spans="1:6" x14ac:dyDescent="0.35">
      <c r="A90" t="s">
        <v>436</v>
      </c>
      <c r="B90" t="s">
        <v>437</v>
      </c>
      <c r="C90" t="s">
        <v>438</v>
      </c>
      <c r="D90" t="s">
        <v>441</v>
      </c>
      <c r="E90" t="s">
        <v>453</v>
      </c>
      <c r="F90" t="str">
        <f t="shared" si="1"/>
        <v>XK - Other Disciplines (Invalid)</v>
      </c>
    </row>
    <row r="91" spans="1:6" x14ac:dyDescent="0.35">
      <c r="A91" t="s">
        <v>436</v>
      </c>
      <c r="B91" t="s">
        <v>437</v>
      </c>
      <c r="C91" t="s">
        <v>438</v>
      </c>
      <c r="D91" t="s">
        <v>454</v>
      </c>
      <c r="E91" t="s">
        <v>455</v>
      </c>
      <c r="F91" t="str">
        <f t="shared" si="1"/>
        <v>XK - Other Disciplines (Deprecated)</v>
      </c>
    </row>
    <row r="92" spans="1:6" x14ac:dyDescent="0.35">
      <c r="A92" t="s">
        <v>436</v>
      </c>
      <c r="B92" t="s">
        <v>437</v>
      </c>
      <c r="C92" t="s">
        <v>438</v>
      </c>
      <c r="D92" t="s">
        <v>454</v>
      </c>
      <c r="E92" t="s">
        <v>456</v>
      </c>
      <c r="F92" t="str">
        <f t="shared" si="1"/>
        <v>XK - Other Disciplines (Deprecated)</v>
      </c>
    </row>
    <row r="93" spans="1:6" x14ac:dyDescent="0.35">
      <c r="A93" t="s">
        <v>436</v>
      </c>
      <c r="B93" t="s">
        <v>437</v>
      </c>
      <c r="C93" t="s">
        <v>438</v>
      </c>
      <c r="D93" t="s">
        <v>441</v>
      </c>
      <c r="E93" t="s">
        <v>457</v>
      </c>
      <c r="F93" t="str">
        <f t="shared" si="1"/>
        <v>XK - Other Disciplines (Invalid)</v>
      </c>
    </row>
    <row r="94" spans="1:6" x14ac:dyDescent="0.35">
      <c r="A94" t="s">
        <v>436</v>
      </c>
      <c r="B94" t="s">
        <v>437</v>
      </c>
      <c r="C94" t="s">
        <v>438</v>
      </c>
      <c r="D94" t="s">
        <v>458</v>
      </c>
      <c r="E94" t="s">
        <v>459</v>
      </c>
      <c r="F94" t="str">
        <f t="shared" si="1"/>
        <v>XK - Other Disciplines (Not Applicable)</v>
      </c>
    </row>
    <row r="95" spans="1:6" x14ac:dyDescent="0.35">
      <c r="A95" t="s">
        <v>436</v>
      </c>
      <c r="B95" t="s">
        <v>437</v>
      </c>
      <c r="C95" t="s">
        <v>438</v>
      </c>
      <c r="D95" t="s">
        <v>441</v>
      </c>
      <c r="E95" t="s">
        <v>460</v>
      </c>
      <c r="F95" t="str">
        <f t="shared" si="1"/>
        <v>XK - Other Disciplines (Invalid)</v>
      </c>
    </row>
    <row r="96" spans="1:6" x14ac:dyDescent="0.35">
      <c r="A96" t="s">
        <v>436</v>
      </c>
      <c r="B96" t="s">
        <v>437</v>
      </c>
      <c r="C96" t="s">
        <v>438</v>
      </c>
      <c r="D96" t="s">
        <v>454</v>
      </c>
      <c r="E96" t="s">
        <v>461</v>
      </c>
      <c r="F96" t="str">
        <f t="shared" si="1"/>
        <v>XK - Other Disciplines (Deprecated)</v>
      </c>
    </row>
    <row r="97" spans="1:6" x14ac:dyDescent="0.35">
      <c r="A97" t="s">
        <v>436</v>
      </c>
      <c r="B97" t="s">
        <v>437</v>
      </c>
      <c r="C97" t="s">
        <v>438</v>
      </c>
      <c r="D97" t="s">
        <v>454</v>
      </c>
      <c r="E97" t="s">
        <v>462</v>
      </c>
      <c r="F97" t="str">
        <f t="shared" si="1"/>
        <v>XK - Other Disciplines (Deprecated)</v>
      </c>
    </row>
  </sheetData>
  <autoFilter ref="A1:E97" xr:uid="{CCDBEE95-927E-4F08-BF73-4596AB34B2DC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F741-B2EF-4FEA-AF13-F0135ADC4643}">
  <sheetPr filterMode="1"/>
  <dimension ref="A1:F304"/>
  <sheetViews>
    <sheetView zoomScale="70" zoomScaleNormal="70" workbookViewId="0">
      <pane ySplit="1" topLeftCell="A101" activePane="bottomLeft" state="frozen"/>
      <selection pane="bottomLeft" activeCell="D102" sqref="D102"/>
    </sheetView>
  </sheetViews>
  <sheetFormatPr defaultColWidth="108.1796875" defaultRowHeight="14.5" x14ac:dyDescent="0.35"/>
  <cols>
    <col min="1" max="1" width="99.54296875" bestFit="1" customWidth="1"/>
    <col min="2" max="2" width="19" bestFit="1" customWidth="1"/>
    <col min="3" max="3" width="21" bestFit="1" customWidth="1"/>
    <col min="4" max="4" width="58.26953125" bestFit="1" customWidth="1"/>
    <col min="5" max="5" width="255.7265625" bestFit="1" customWidth="1"/>
  </cols>
  <sheetData>
    <row r="1" spans="1:6" s="2" customFormat="1" x14ac:dyDescent="0.35">
      <c r="A1" s="2" t="s">
        <v>464</v>
      </c>
      <c r="B1" s="2" t="s">
        <v>465</v>
      </c>
      <c r="C1" s="2" t="s">
        <v>466</v>
      </c>
      <c r="D1" s="2" t="s">
        <v>1</v>
      </c>
      <c r="E1" s="2" t="s">
        <v>467</v>
      </c>
      <c r="F1" s="2" t="s">
        <v>168</v>
      </c>
    </row>
    <row r="2" spans="1:6" hidden="1" x14ac:dyDescent="0.35">
      <c r="A2" t="s">
        <v>1150</v>
      </c>
      <c r="B2">
        <v>100</v>
      </c>
      <c r="C2" t="s">
        <v>978</v>
      </c>
      <c r="D2" t="s">
        <v>980</v>
      </c>
      <c r="F2" t="str">
        <f t="shared" ref="F2:F65" si="0">_xlfn.CONCAT(A2, " (", D2, ")")</f>
        <v>100-AQP-001 (ACTIVITY QUALITY PLAN)</v>
      </c>
    </row>
    <row r="3" spans="1:6" hidden="1" x14ac:dyDescent="0.35">
      <c r="A3" t="s">
        <v>1151</v>
      </c>
      <c r="B3">
        <v>100</v>
      </c>
      <c r="C3" t="s">
        <v>981</v>
      </c>
      <c r="D3" t="s">
        <v>983</v>
      </c>
      <c r="F3" t="str">
        <f t="shared" si="0"/>
        <v>100-ASL-001 (AUTHORIZED SIGNATURE LIST)</v>
      </c>
    </row>
    <row r="4" spans="1:6" hidden="1" x14ac:dyDescent="0.35">
      <c r="A4" t="s">
        <v>1152</v>
      </c>
      <c r="B4">
        <v>100</v>
      </c>
      <c r="C4" t="s">
        <v>984</v>
      </c>
      <c r="D4" t="s">
        <v>986</v>
      </c>
      <c r="F4" t="str">
        <f t="shared" si="0"/>
        <v>100-BID-001 (BID TAB)</v>
      </c>
    </row>
    <row r="5" spans="1:6" hidden="1" x14ac:dyDescent="0.35">
      <c r="A5" t="s">
        <v>1153</v>
      </c>
      <c r="B5">
        <v>100</v>
      </c>
      <c r="C5" t="s">
        <v>987</v>
      </c>
      <c r="D5" t="s">
        <v>989</v>
      </c>
      <c r="F5" t="str">
        <f t="shared" si="0"/>
        <v>100-CFN-001 (CONFERENCE NOTE)</v>
      </c>
    </row>
    <row r="6" spans="1:6" hidden="1" x14ac:dyDescent="0.35">
      <c r="A6" t="s">
        <v>1154</v>
      </c>
      <c r="B6">
        <v>100</v>
      </c>
      <c r="C6" t="s">
        <v>990</v>
      </c>
      <c r="D6" t="s">
        <v>1155</v>
      </c>
      <c r="F6" t="str">
        <f t="shared" si="0"/>
        <v>100-COR-001 (CORRESPONDENCE - EXTERNAL)</v>
      </c>
    </row>
    <row r="7" spans="1:6" hidden="1" x14ac:dyDescent="0.35">
      <c r="A7" t="s">
        <v>1156</v>
      </c>
      <c r="B7">
        <v>100</v>
      </c>
      <c r="C7" t="s">
        <v>469</v>
      </c>
      <c r="D7" t="s">
        <v>994</v>
      </c>
      <c r="F7" t="str">
        <f t="shared" si="0"/>
        <v>100-DBK-001 (DATA BOOK)</v>
      </c>
    </row>
    <row r="8" spans="1:6" hidden="1" x14ac:dyDescent="0.35">
      <c r="A8" t="s">
        <v>1157</v>
      </c>
      <c r="B8">
        <v>100</v>
      </c>
      <c r="C8" t="s">
        <v>472</v>
      </c>
      <c r="D8" t="s">
        <v>473</v>
      </c>
      <c r="F8" t="str">
        <f t="shared" si="0"/>
        <v>100-DCN-001 (DESIGN CHANGE NOTICE)</v>
      </c>
    </row>
    <row r="9" spans="1:6" hidden="1" x14ac:dyDescent="0.35">
      <c r="A9" t="s">
        <v>1158</v>
      </c>
      <c r="B9">
        <v>100</v>
      </c>
      <c r="C9" t="s">
        <v>996</v>
      </c>
      <c r="D9" t="s">
        <v>998</v>
      </c>
      <c r="F9" t="str">
        <f t="shared" si="0"/>
        <v>100-DDM-001 (DOCUMENT DISTRIBUTION MATRIX)</v>
      </c>
    </row>
    <row r="10" spans="1:6" hidden="1" x14ac:dyDescent="0.35">
      <c r="A10" t="s">
        <v>1159</v>
      </c>
      <c r="B10">
        <v>100</v>
      </c>
      <c r="C10" t="s">
        <v>999</v>
      </c>
      <c r="D10" t="s">
        <v>1001</v>
      </c>
      <c r="F10" t="str">
        <f t="shared" si="0"/>
        <v>100-DEV-001 (DEVIATION)</v>
      </c>
    </row>
    <row r="11" spans="1:6" hidden="1" x14ac:dyDescent="0.35">
      <c r="A11" t="s">
        <v>1160</v>
      </c>
      <c r="B11">
        <v>100</v>
      </c>
      <c r="C11" t="s">
        <v>1002</v>
      </c>
      <c r="D11" t="s">
        <v>1004</v>
      </c>
      <c r="F11" t="str">
        <f t="shared" si="0"/>
        <v>100-DIS-001 (DISCUSSION CONFIRMATION)</v>
      </c>
    </row>
    <row r="12" spans="1:6" hidden="1" x14ac:dyDescent="0.35">
      <c r="A12" t="s">
        <v>1161</v>
      </c>
      <c r="B12">
        <v>100</v>
      </c>
      <c r="C12" t="s">
        <v>1005</v>
      </c>
      <c r="D12" t="s">
        <v>1005</v>
      </c>
      <c r="F12" t="str">
        <f t="shared" si="0"/>
        <v>100-FAX-001 (FAX)</v>
      </c>
    </row>
    <row r="13" spans="1:6" hidden="1" x14ac:dyDescent="0.35">
      <c r="A13" t="s">
        <v>1162</v>
      </c>
      <c r="B13">
        <v>100</v>
      </c>
      <c r="C13" t="s">
        <v>4</v>
      </c>
      <c r="D13" t="s">
        <v>1008</v>
      </c>
      <c r="F13" t="str">
        <f t="shared" si="0"/>
        <v>100-GEN-001 (GENERAL DOCUMENT)</v>
      </c>
    </row>
    <row r="14" spans="1:6" hidden="1" x14ac:dyDescent="0.35">
      <c r="A14" t="s">
        <v>1163</v>
      </c>
      <c r="B14">
        <v>100</v>
      </c>
      <c r="C14" t="s">
        <v>1009</v>
      </c>
      <c r="D14" t="s">
        <v>1164</v>
      </c>
      <c r="F14" t="str">
        <f t="shared" si="0"/>
        <v>100-IAG-001 (INTERFACE  AGREEMENT)</v>
      </c>
    </row>
    <row r="15" spans="1:6" hidden="1" x14ac:dyDescent="0.35">
      <c r="A15" t="s">
        <v>1165</v>
      </c>
      <c r="B15">
        <v>100</v>
      </c>
      <c r="C15" t="s">
        <v>1012</v>
      </c>
      <c r="D15" t="s">
        <v>1014</v>
      </c>
      <c r="F15" t="str">
        <f t="shared" si="0"/>
        <v>100-IOC-001 (INTEROFFICE CORRESPONDENCE)</v>
      </c>
    </row>
    <row r="16" spans="1:6" hidden="1" x14ac:dyDescent="0.35">
      <c r="A16" t="s">
        <v>1166</v>
      </c>
      <c r="B16">
        <v>100</v>
      </c>
      <c r="C16" t="s">
        <v>1015</v>
      </c>
      <c r="D16" t="s">
        <v>1017</v>
      </c>
      <c r="F16" t="str">
        <f t="shared" si="0"/>
        <v>100-JOB-001 (JOB BULLETIN)</v>
      </c>
    </row>
    <row r="17" spans="1:6" hidden="1" x14ac:dyDescent="0.35">
      <c r="A17" t="s">
        <v>1167</v>
      </c>
      <c r="B17">
        <v>100</v>
      </c>
      <c r="C17" t="s">
        <v>484</v>
      </c>
      <c r="D17" t="s">
        <v>1168</v>
      </c>
      <c r="F17" t="str">
        <f t="shared" si="0"/>
        <v>100-LST-001 (LIST - LOG - REGISTER)</v>
      </c>
    </row>
    <row r="18" spans="1:6" hidden="1" x14ac:dyDescent="0.35">
      <c r="A18" t="s">
        <v>1169</v>
      </c>
      <c r="B18">
        <v>100</v>
      </c>
      <c r="C18" t="s">
        <v>1020</v>
      </c>
      <c r="D18" t="s">
        <v>1022</v>
      </c>
      <c r="F18" t="str">
        <f t="shared" si="0"/>
        <v>100-LTR-001 (LETTER)</v>
      </c>
    </row>
    <row r="19" spans="1:6" hidden="1" x14ac:dyDescent="0.35">
      <c r="A19" t="s">
        <v>1170</v>
      </c>
      <c r="B19">
        <v>100</v>
      </c>
      <c r="C19" t="s">
        <v>1023</v>
      </c>
      <c r="D19" t="s">
        <v>1025</v>
      </c>
      <c r="F19" t="str">
        <f t="shared" si="0"/>
        <v>100-MOM-001 (MINUTES OF MEETING)</v>
      </c>
    </row>
    <row r="20" spans="1:6" hidden="1" x14ac:dyDescent="0.35">
      <c r="A20" t="s">
        <v>1171</v>
      </c>
      <c r="B20">
        <v>100</v>
      </c>
      <c r="C20" t="s">
        <v>1026</v>
      </c>
      <c r="D20" t="s">
        <v>1028</v>
      </c>
      <c r="F20" t="str">
        <f t="shared" si="0"/>
        <v>100-MPR-001 (MONTHLY PROGRESS REPORT)</v>
      </c>
    </row>
    <row r="21" spans="1:6" hidden="1" x14ac:dyDescent="0.35">
      <c r="A21" t="s">
        <v>1172</v>
      </c>
      <c r="B21">
        <v>100</v>
      </c>
      <c r="C21" t="s">
        <v>1029</v>
      </c>
      <c r="D21" t="s">
        <v>1173</v>
      </c>
      <c r="F21" t="str">
        <f t="shared" si="0"/>
        <v>100-NDA-001 (NON-DISCLOSURE ACKNOWLEDGEMENT)</v>
      </c>
    </row>
    <row r="22" spans="1:6" hidden="1" x14ac:dyDescent="0.35">
      <c r="A22" t="s">
        <v>1174</v>
      </c>
      <c r="B22">
        <v>100</v>
      </c>
      <c r="C22" t="s">
        <v>1032</v>
      </c>
      <c r="D22" t="s">
        <v>1034</v>
      </c>
      <c r="F22" t="str">
        <f t="shared" si="0"/>
        <v>100-ORG-001 (ORGANIZATION CHART)</v>
      </c>
    </row>
    <row r="23" spans="1:6" hidden="1" x14ac:dyDescent="0.35">
      <c r="A23" t="s">
        <v>1175</v>
      </c>
      <c r="B23">
        <v>100</v>
      </c>
      <c r="C23" t="s">
        <v>1035</v>
      </c>
      <c r="D23" t="s">
        <v>1037</v>
      </c>
      <c r="F23" t="str">
        <f t="shared" si="0"/>
        <v>100-OVR-001 (OVERTIME REQUEST)</v>
      </c>
    </row>
    <row r="24" spans="1:6" hidden="1" x14ac:dyDescent="0.35">
      <c r="A24" t="s">
        <v>1176</v>
      </c>
      <c r="B24">
        <v>100</v>
      </c>
      <c r="C24" t="s">
        <v>1038</v>
      </c>
      <c r="D24" t="s">
        <v>1177</v>
      </c>
      <c r="F24" t="str">
        <f t="shared" si="0"/>
        <v>100-PAF-001 (PERSONNEL AUTHORIZATION  FORM)</v>
      </c>
    </row>
    <row r="25" spans="1:6" hidden="1" x14ac:dyDescent="0.35">
      <c r="A25" t="s">
        <v>1178</v>
      </c>
      <c r="B25">
        <v>100</v>
      </c>
      <c r="C25" t="s">
        <v>1041</v>
      </c>
      <c r="D25" t="s">
        <v>1043</v>
      </c>
      <c r="F25" t="str">
        <f t="shared" si="0"/>
        <v>100-PEP-001 (PROJECT EXECUTION PLAN)</v>
      </c>
    </row>
    <row r="26" spans="1:6" hidden="1" x14ac:dyDescent="0.35">
      <c r="A26" t="s">
        <v>1179</v>
      </c>
      <c r="B26">
        <v>100</v>
      </c>
      <c r="C26" t="s">
        <v>1044</v>
      </c>
      <c r="D26" t="s">
        <v>1046</v>
      </c>
      <c r="F26" t="str">
        <f t="shared" si="0"/>
        <v>100-PEX-001 (PROJECT EXPERIENCES)</v>
      </c>
    </row>
    <row r="27" spans="1:6" hidden="1" x14ac:dyDescent="0.35">
      <c r="A27" t="s">
        <v>1180</v>
      </c>
      <c r="B27">
        <v>100</v>
      </c>
      <c r="C27" t="s">
        <v>1047</v>
      </c>
      <c r="D27" t="s">
        <v>1181</v>
      </c>
      <c r="F27" t="str">
        <f t="shared" si="0"/>
        <v>100-PPM-001 (PROJECT PROCEDURE  MANUAL)</v>
      </c>
    </row>
    <row r="28" spans="1:6" hidden="1" x14ac:dyDescent="0.35">
      <c r="A28" t="s">
        <v>1182</v>
      </c>
      <c r="B28">
        <v>100</v>
      </c>
      <c r="C28" t="s">
        <v>776</v>
      </c>
      <c r="D28" t="s">
        <v>777</v>
      </c>
      <c r="F28" t="str">
        <f t="shared" si="0"/>
        <v>100-PRC-001 (PROCEDURE)</v>
      </c>
    </row>
    <row r="29" spans="1:6" hidden="1" x14ac:dyDescent="0.35">
      <c r="A29" t="s">
        <v>1183</v>
      </c>
      <c r="B29">
        <v>100</v>
      </c>
      <c r="C29" t="s">
        <v>543</v>
      </c>
      <c r="D29" t="s">
        <v>1052</v>
      </c>
      <c r="F29" t="str">
        <f t="shared" si="0"/>
        <v>100-PRO-001 (PROCUREMENT DOCUMENT)</v>
      </c>
    </row>
    <row r="30" spans="1:6" hidden="1" x14ac:dyDescent="0.35">
      <c r="A30" t="s">
        <v>1184</v>
      </c>
      <c r="B30">
        <v>100</v>
      </c>
      <c r="C30" t="s">
        <v>1053</v>
      </c>
      <c r="D30" t="s">
        <v>1185</v>
      </c>
      <c r="F30" t="str">
        <f t="shared" si="0"/>
        <v>100-PTD-001 (PROJECT TELEPHONE DIRECTORY - LIST)</v>
      </c>
    </row>
    <row r="31" spans="1:6" hidden="1" x14ac:dyDescent="0.35">
      <c r="A31" t="s">
        <v>1186</v>
      </c>
      <c r="B31">
        <v>100</v>
      </c>
      <c r="C31" t="s">
        <v>1056</v>
      </c>
      <c r="D31" t="s">
        <v>1058</v>
      </c>
      <c r="F31" t="str">
        <f t="shared" si="0"/>
        <v>100-RFl-001 (REQUEST FOR INFORMATION)</v>
      </c>
    </row>
    <row r="32" spans="1:6" hidden="1" x14ac:dyDescent="0.35">
      <c r="A32" t="s">
        <v>1187</v>
      </c>
      <c r="B32">
        <v>100</v>
      </c>
      <c r="C32" t="s">
        <v>1059</v>
      </c>
      <c r="D32" t="s">
        <v>1061</v>
      </c>
      <c r="F32" t="str">
        <f t="shared" si="0"/>
        <v>100-RFP-001 (REQUEST FOR PROPOSAL)</v>
      </c>
    </row>
    <row r="33" spans="1:6" hidden="1" x14ac:dyDescent="0.35">
      <c r="A33" t="s">
        <v>1188</v>
      </c>
      <c r="B33">
        <v>100</v>
      </c>
      <c r="C33" t="s">
        <v>1062</v>
      </c>
      <c r="D33" t="s">
        <v>1064</v>
      </c>
      <c r="F33" t="str">
        <f t="shared" si="0"/>
        <v>100-RFQ-001 (REQUEST FOR QUOTATION)</v>
      </c>
    </row>
    <row r="34" spans="1:6" hidden="1" x14ac:dyDescent="0.35">
      <c r="A34" t="s">
        <v>1189</v>
      </c>
      <c r="B34">
        <v>100</v>
      </c>
      <c r="C34" t="s">
        <v>490</v>
      </c>
      <c r="D34" t="s">
        <v>1190</v>
      </c>
      <c r="F34" t="str">
        <f t="shared" si="0"/>
        <v>100-RPT-001 (REPORT - STUDY)</v>
      </c>
    </row>
    <row r="35" spans="1:6" hidden="1" x14ac:dyDescent="0.35">
      <c r="A35" t="s">
        <v>1191</v>
      </c>
      <c r="B35">
        <v>100</v>
      </c>
      <c r="C35" t="s">
        <v>1067</v>
      </c>
      <c r="D35" t="s">
        <v>1069</v>
      </c>
      <c r="F35" t="str">
        <f t="shared" si="0"/>
        <v>100-RSM-001 (RESUME)</v>
      </c>
    </row>
    <row r="36" spans="1:6" hidden="1" x14ac:dyDescent="0.35">
      <c r="A36" t="s">
        <v>1192</v>
      </c>
      <c r="B36">
        <v>100</v>
      </c>
      <c r="C36" t="s">
        <v>1070</v>
      </c>
      <c r="D36" t="s">
        <v>1072</v>
      </c>
      <c r="F36" t="str">
        <f t="shared" si="0"/>
        <v>100-SLA-001 (SERVICE LEVEL AGREEMENT)</v>
      </c>
    </row>
    <row r="37" spans="1:6" hidden="1" x14ac:dyDescent="0.35">
      <c r="A37" t="s">
        <v>1194</v>
      </c>
      <c r="B37">
        <v>100</v>
      </c>
      <c r="C37" t="s">
        <v>1193</v>
      </c>
      <c r="D37" t="s">
        <v>910</v>
      </c>
      <c r="F37" t="str">
        <f t="shared" si="0"/>
        <v>100-SOW-001 (SCOPE OF WORK)</v>
      </c>
    </row>
    <row r="38" spans="1:6" hidden="1" x14ac:dyDescent="0.35">
      <c r="A38" t="s">
        <v>1195</v>
      </c>
      <c r="B38">
        <v>100</v>
      </c>
      <c r="C38" t="s">
        <v>1074</v>
      </c>
      <c r="D38" t="s">
        <v>1076</v>
      </c>
      <c r="F38" t="str">
        <f t="shared" si="0"/>
        <v>100-SWA-001 (STOP WORK AUTHORITY)</v>
      </c>
    </row>
    <row r="39" spans="1:6" hidden="1" x14ac:dyDescent="0.35">
      <c r="A39" t="s">
        <v>1196</v>
      </c>
      <c r="B39">
        <v>100</v>
      </c>
      <c r="C39" t="s">
        <v>1077</v>
      </c>
      <c r="D39" t="s">
        <v>1079</v>
      </c>
      <c r="F39" t="str">
        <f t="shared" si="0"/>
        <v>100-TEQ-001 (TECHNICAL QUERY)</v>
      </c>
    </row>
    <row r="40" spans="1:6" hidden="1" x14ac:dyDescent="0.35">
      <c r="A40" t="s">
        <v>1197</v>
      </c>
      <c r="B40">
        <v>100</v>
      </c>
      <c r="C40" t="s">
        <v>1080</v>
      </c>
      <c r="D40" t="s">
        <v>1082</v>
      </c>
      <c r="F40" t="str">
        <f t="shared" si="0"/>
        <v>100-TOC-001 (TABLE OF CONTENTS)</v>
      </c>
    </row>
    <row r="41" spans="1:6" hidden="1" x14ac:dyDescent="0.35">
      <c r="A41" t="s">
        <v>1198</v>
      </c>
      <c r="B41">
        <v>100</v>
      </c>
      <c r="C41" t="s">
        <v>1083</v>
      </c>
      <c r="D41" t="s">
        <v>1085</v>
      </c>
      <c r="F41" t="str">
        <f t="shared" si="0"/>
        <v>100-TRA-001 (TRAVEL AUTHORIZATION)</v>
      </c>
    </row>
    <row r="42" spans="1:6" hidden="1" x14ac:dyDescent="0.35">
      <c r="A42" t="s">
        <v>1199</v>
      </c>
      <c r="B42">
        <v>100</v>
      </c>
      <c r="C42" t="s">
        <v>1086</v>
      </c>
      <c r="D42" t="s">
        <v>1088</v>
      </c>
      <c r="F42" t="str">
        <f t="shared" si="0"/>
        <v>100-TRN-001 (TRANSMITTAL)</v>
      </c>
    </row>
    <row r="43" spans="1:6" hidden="1" x14ac:dyDescent="0.35">
      <c r="A43" t="s">
        <v>1200</v>
      </c>
      <c r="B43">
        <v>100</v>
      </c>
      <c r="C43" t="s">
        <v>1089</v>
      </c>
      <c r="D43" t="s">
        <v>1091</v>
      </c>
      <c r="F43" t="str">
        <f t="shared" si="0"/>
        <v>100-TRR-001 (TRIP REQUEST)</v>
      </c>
    </row>
    <row r="44" spans="1:6" hidden="1" x14ac:dyDescent="0.35">
      <c r="A44" t="s">
        <v>1201</v>
      </c>
      <c r="B44">
        <v>100</v>
      </c>
      <c r="C44" t="s">
        <v>1092</v>
      </c>
      <c r="D44" t="s">
        <v>1094</v>
      </c>
      <c r="F44" t="str">
        <f t="shared" si="0"/>
        <v>100-TXP-001 (TECHNICAL EXCEPTION)</v>
      </c>
    </row>
    <row r="45" spans="1:6" hidden="1" x14ac:dyDescent="0.35">
      <c r="A45" t="s">
        <v>1202</v>
      </c>
      <c r="B45">
        <v>100</v>
      </c>
      <c r="C45" t="s">
        <v>1095</v>
      </c>
      <c r="D45" t="s">
        <v>1203</v>
      </c>
      <c r="F45" t="str">
        <f t="shared" si="0"/>
        <v>100-VIP-001 (VALUE IMPROVING  PRACTICE)</v>
      </c>
    </row>
    <row r="46" spans="1:6" hidden="1" x14ac:dyDescent="0.35">
      <c r="A46" t="s">
        <v>1204</v>
      </c>
      <c r="B46">
        <v>100</v>
      </c>
      <c r="C46" t="s">
        <v>1098</v>
      </c>
      <c r="D46" t="s">
        <v>1100</v>
      </c>
      <c r="F46" t="str">
        <f t="shared" si="0"/>
        <v>100-WSR-001 (WORK STOPPAGE RECORD)</v>
      </c>
    </row>
    <row r="47" spans="1:6" hidden="1" x14ac:dyDescent="0.35">
      <c r="A47" t="s">
        <v>1205</v>
      </c>
      <c r="B47">
        <v>500</v>
      </c>
      <c r="C47" t="s">
        <v>509</v>
      </c>
      <c r="D47" t="s">
        <v>1206</v>
      </c>
      <c r="F47" t="str">
        <f t="shared" si="0"/>
        <v>500-CWP-001 (CONSTRUCTION  WORK PACKAGE)</v>
      </c>
    </row>
    <row r="48" spans="1:6" hidden="1" x14ac:dyDescent="0.35">
      <c r="A48" t="s">
        <v>1207</v>
      </c>
      <c r="B48">
        <v>500</v>
      </c>
      <c r="C48" t="s">
        <v>859</v>
      </c>
      <c r="D48" t="s">
        <v>922</v>
      </c>
      <c r="F48" t="str">
        <f t="shared" si="0"/>
        <v>500-DWG-001 (ENGINEERED LIFT STUDY)</v>
      </c>
    </row>
    <row r="49" spans="1:6" hidden="1" x14ac:dyDescent="0.35">
      <c r="A49" t="s">
        <v>1208</v>
      </c>
      <c r="B49">
        <v>500</v>
      </c>
      <c r="C49" t="s">
        <v>923</v>
      </c>
      <c r="D49" t="s">
        <v>1209</v>
      </c>
      <c r="F49" t="str">
        <f t="shared" si="0"/>
        <v>500-EXE-001 (CONSTRUCTION  SCOPE OF WORK)</v>
      </c>
    </row>
    <row r="50" spans="1:6" hidden="1" x14ac:dyDescent="0.35">
      <c r="A50" t="s">
        <v>1210</v>
      </c>
      <c r="B50">
        <v>500</v>
      </c>
      <c r="C50" t="s">
        <v>923</v>
      </c>
      <c r="D50" t="s">
        <v>1211</v>
      </c>
      <c r="F50" t="str">
        <f t="shared" si="0"/>
        <v>500-EXE-002 (CONSTRUCTION  EXECUTION PLAN)</v>
      </c>
    </row>
    <row r="51" spans="1:6" hidden="1" x14ac:dyDescent="0.35">
      <c r="A51" t="s">
        <v>1212</v>
      </c>
      <c r="B51">
        <v>500</v>
      </c>
      <c r="C51" t="s">
        <v>923</v>
      </c>
      <c r="D51" t="s">
        <v>929</v>
      </c>
      <c r="F51" t="str">
        <f t="shared" si="0"/>
        <v>500-EXE-003 (MODULARIZATION AND FABRICATION PLAN)</v>
      </c>
    </row>
    <row r="52" spans="1:6" hidden="1" x14ac:dyDescent="0.35">
      <c r="A52" t="s">
        <v>1213</v>
      </c>
      <c r="B52">
        <v>500</v>
      </c>
      <c r="C52" t="s">
        <v>930</v>
      </c>
      <c r="D52" t="s">
        <v>932</v>
      </c>
      <c r="F52" t="str">
        <f t="shared" si="0"/>
        <v>500-FCN-001 (FIELD CHANGE NOTICE)</v>
      </c>
    </row>
    <row r="53" spans="1:6" hidden="1" x14ac:dyDescent="0.35">
      <c r="A53" t="s">
        <v>1214</v>
      </c>
      <c r="B53">
        <v>500</v>
      </c>
      <c r="C53" t="s">
        <v>933</v>
      </c>
      <c r="D53" t="s">
        <v>935</v>
      </c>
      <c r="F53" t="str">
        <f t="shared" si="0"/>
        <v>500-ITP-001 (INSPECTION AND TEST PLAN)</v>
      </c>
    </row>
    <row r="54" spans="1:6" hidden="1" x14ac:dyDescent="0.35">
      <c r="A54" t="s">
        <v>1215</v>
      </c>
      <c r="B54">
        <v>500</v>
      </c>
      <c r="C54" t="s">
        <v>936</v>
      </c>
      <c r="D54" t="s">
        <v>1216</v>
      </c>
      <c r="F54" t="str">
        <f t="shared" si="0"/>
        <v>500-IWP-001 (INSTALLATION  WORK PACKAGE-ARCHITECTURAL)</v>
      </c>
    </row>
    <row r="55" spans="1:6" hidden="1" x14ac:dyDescent="0.35">
      <c r="A55" t="s">
        <v>1217</v>
      </c>
      <c r="B55">
        <v>500</v>
      </c>
      <c r="C55" t="s">
        <v>936</v>
      </c>
      <c r="D55" t="s">
        <v>1218</v>
      </c>
      <c r="F55" t="str">
        <f t="shared" si="0"/>
        <v>500-IWP-002 (INSTALLATION  WORK PACKAGE - CONCRETE FOUNDATIONS)</v>
      </c>
    </row>
    <row r="56" spans="1:6" hidden="1" x14ac:dyDescent="0.35">
      <c r="A56" t="s">
        <v>1219</v>
      </c>
      <c r="B56">
        <v>500</v>
      </c>
      <c r="C56" t="s">
        <v>936</v>
      </c>
      <c r="D56" t="s">
        <v>1220</v>
      </c>
      <c r="F56" t="str">
        <f t="shared" si="0"/>
        <v>500-IWP-003 (INSTALLATION  WORK PACKAGE - ELECTRICAL)</v>
      </c>
    </row>
    <row r="57" spans="1:6" hidden="1" x14ac:dyDescent="0.35">
      <c r="A57" t="s">
        <v>1221</v>
      </c>
      <c r="B57">
        <v>500</v>
      </c>
      <c r="C57" t="s">
        <v>936</v>
      </c>
      <c r="D57" t="s">
        <v>1222</v>
      </c>
      <c r="F57" t="str">
        <f t="shared" si="0"/>
        <v>500-IWP-004 (INSTALLATION  WORK PACKAGE- FIREPROOFING)</v>
      </c>
    </row>
    <row r="58" spans="1:6" hidden="1" x14ac:dyDescent="0.35">
      <c r="A58" t="s">
        <v>1223</v>
      </c>
      <c r="B58">
        <v>500</v>
      </c>
      <c r="C58" t="s">
        <v>936</v>
      </c>
      <c r="D58" t="s">
        <v>1224</v>
      </c>
      <c r="F58" t="str">
        <f t="shared" si="0"/>
        <v>500-IWP-005 (INSTALLATION  WORK PACKAGE- CIVIL)</v>
      </c>
    </row>
    <row r="59" spans="1:6" hidden="1" x14ac:dyDescent="0.35">
      <c r="A59" t="s">
        <v>1225</v>
      </c>
      <c r="B59">
        <v>500</v>
      </c>
      <c r="C59" t="s">
        <v>936</v>
      </c>
      <c r="D59" t="s">
        <v>1226</v>
      </c>
      <c r="F59" t="str">
        <f t="shared" si="0"/>
        <v>500-IWP-006 (INSTALLATION  WORK PACKAGE-AUTOMATION HARDWARE)</v>
      </c>
    </row>
    <row r="60" spans="1:6" hidden="1" x14ac:dyDescent="0.35">
      <c r="A60" t="s">
        <v>1227</v>
      </c>
      <c r="B60">
        <v>500</v>
      </c>
      <c r="C60" t="s">
        <v>936</v>
      </c>
      <c r="D60" t="s">
        <v>1228</v>
      </c>
      <c r="F60" t="str">
        <f t="shared" si="0"/>
        <v>500-IWP-007 (INSTALLATION  WORK PACKAGE- CONTROL SYSTEMS)</v>
      </c>
    </row>
    <row r="61" spans="1:6" hidden="1" x14ac:dyDescent="0.35">
      <c r="A61" t="s">
        <v>1229</v>
      </c>
      <c r="B61">
        <v>500</v>
      </c>
      <c r="C61" t="s">
        <v>936</v>
      </c>
      <c r="D61" t="s">
        <v>1230</v>
      </c>
      <c r="F61" t="str">
        <f t="shared" si="0"/>
        <v>500-IWP-008 (INSTALLATION  WORK PACKAGE - PILING)</v>
      </c>
    </row>
    <row r="62" spans="1:6" hidden="1" x14ac:dyDescent="0.35">
      <c r="A62" t="s">
        <v>1231</v>
      </c>
      <c r="B62">
        <v>500</v>
      </c>
      <c r="C62" t="s">
        <v>936</v>
      </c>
      <c r="D62" t="s">
        <v>1232</v>
      </c>
      <c r="F62" t="str">
        <f t="shared" si="0"/>
        <v>500-IWP-009 (INSTALLATION  WORK PACKAGE- MECHANICAL EQUIPMENT)</v>
      </c>
    </row>
    <row r="63" spans="1:6" hidden="1" x14ac:dyDescent="0.35">
      <c r="A63" t="s">
        <v>1233</v>
      </c>
      <c r="B63">
        <v>500</v>
      </c>
      <c r="C63" t="s">
        <v>936</v>
      </c>
      <c r="D63" t="s">
        <v>1234</v>
      </c>
      <c r="F63" t="str">
        <f t="shared" si="0"/>
        <v>500-IWP-010 (INSTALLATION  WORK PACKAGE- HVAC)</v>
      </c>
    </row>
    <row r="64" spans="1:6" hidden="1" x14ac:dyDescent="0.35">
      <c r="A64" t="s">
        <v>1235</v>
      </c>
      <c r="B64">
        <v>500</v>
      </c>
      <c r="C64" t="s">
        <v>936</v>
      </c>
      <c r="D64" t="s">
        <v>1236</v>
      </c>
      <c r="F64" t="str">
        <f t="shared" si="0"/>
        <v>500-IWP-011 (INSTALLATION  WORK PACKAGE- PIPING)</v>
      </c>
    </row>
    <row r="65" spans="1:6" hidden="1" x14ac:dyDescent="0.35">
      <c r="A65" t="s">
        <v>1237</v>
      </c>
      <c r="B65">
        <v>500</v>
      </c>
      <c r="C65" t="s">
        <v>936</v>
      </c>
      <c r="D65" t="s">
        <v>1238</v>
      </c>
      <c r="F65" t="str">
        <f t="shared" si="0"/>
        <v>500-IWP-012 (INSTALLATION  WORK PACKAGE- INSULATION)</v>
      </c>
    </row>
    <row r="66" spans="1:6" hidden="1" x14ac:dyDescent="0.35">
      <c r="A66" t="s">
        <v>1239</v>
      </c>
      <c r="B66">
        <v>500</v>
      </c>
      <c r="C66" t="s">
        <v>936</v>
      </c>
      <c r="D66" t="s">
        <v>1240</v>
      </c>
      <c r="F66" t="str">
        <f t="shared" ref="F66:F73" si="1">_xlfn.CONCAT(A66, " (", D66, ")")</f>
        <v>500-IWP-013 (INSTALLATION  WORK PACKAGE - STRUCTURAL STEEL)</v>
      </c>
    </row>
    <row r="67" spans="1:6" hidden="1" x14ac:dyDescent="0.35">
      <c r="A67" t="s">
        <v>1241</v>
      </c>
      <c r="B67">
        <v>500</v>
      </c>
      <c r="C67" t="s">
        <v>936</v>
      </c>
      <c r="D67" t="s">
        <v>1242</v>
      </c>
      <c r="F67" t="str">
        <f t="shared" si="1"/>
        <v>500-IWP-014 (INSTALLATION  WORK PACKAGE - ELECTRICAL HEAT TRACING)</v>
      </c>
    </row>
    <row r="68" spans="1:6" hidden="1" x14ac:dyDescent="0.35">
      <c r="A68" t="s">
        <v>1243</v>
      </c>
      <c r="B68">
        <v>500</v>
      </c>
      <c r="C68" t="s">
        <v>936</v>
      </c>
      <c r="D68" t="s">
        <v>1244</v>
      </c>
      <c r="F68" t="str">
        <f t="shared" si="1"/>
        <v>500-IWP-015 (INSTALLATION  WORK PACKAGE - VESSEL LADDERS AND PLATFORMS)</v>
      </c>
    </row>
    <row r="69" spans="1:6" hidden="1" x14ac:dyDescent="0.35">
      <c r="A69" t="s">
        <v>1245</v>
      </c>
      <c r="B69">
        <v>500</v>
      </c>
      <c r="C69" t="s">
        <v>967</v>
      </c>
      <c r="D69" t="s">
        <v>969</v>
      </c>
      <c r="F69" t="str">
        <f t="shared" si="1"/>
        <v>500-JSA-001 (JOB SAFETY ANALYSIS)</v>
      </c>
    </row>
    <row r="70" spans="1:6" hidden="1" x14ac:dyDescent="0.35">
      <c r="A70" t="s">
        <v>1246</v>
      </c>
      <c r="B70">
        <v>500</v>
      </c>
      <c r="C70" t="s">
        <v>970</v>
      </c>
      <c r="D70" t="s">
        <v>972</v>
      </c>
      <c r="F70" t="str">
        <f t="shared" si="1"/>
        <v>500-RDL-001 (REDLINE DRAWING)</v>
      </c>
    </row>
    <row r="71" spans="1:6" hidden="1" x14ac:dyDescent="0.35">
      <c r="A71" t="s">
        <v>1247</v>
      </c>
      <c r="B71">
        <v>500</v>
      </c>
      <c r="C71" t="s">
        <v>490</v>
      </c>
      <c r="D71" t="s">
        <v>1248</v>
      </c>
      <c r="F71" t="str">
        <f t="shared" si="1"/>
        <v>500-RPT-001 (CONSTRUCTION  SAFETY REPORT)</v>
      </c>
    </row>
    <row r="72" spans="1:6" hidden="1" x14ac:dyDescent="0.35">
      <c r="A72" t="s">
        <v>1249</v>
      </c>
      <c r="B72">
        <v>500</v>
      </c>
      <c r="C72" t="s">
        <v>549</v>
      </c>
      <c r="D72" t="s">
        <v>976</v>
      </c>
      <c r="F72" t="str">
        <f t="shared" si="1"/>
        <v>500-SKT-001 (FIELD SKETCH)</v>
      </c>
    </row>
    <row r="73" spans="1:6" hidden="1" x14ac:dyDescent="0.35">
      <c r="A73" t="s">
        <v>1250</v>
      </c>
      <c r="B73">
        <v>500</v>
      </c>
      <c r="C73" t="s">
        <v>494</v>
      </c>
      <c r="D73" t="s">
        <v>495</v>
      </c>
      <c r="F73" t="str">
        <f t="shared" si="1"/>
        <v>500-TVR-001 (TURNOVER DOSSIER)</v>
      </c>
    </row>
    <row r="74" spans="1:6" hidden="1" x14ac:dyDescent="0.35">
      <c r="A74" t="s">
        <v>468</v>
      </c>
      <c r="B74">
        <v>200</v>
      </c>
      <c r="C74" t="s">
        <v>469</v>
      </c>
      <c r="D74" t="s">
        <v>470</v>
      </c>
      <c r="F74" t="str">
        <f>_xlfn.CONCAT(A74, " (", D74, ")")</f>
        <v>200-DBK-001 (PROJECT DATA BOOK)</v>
      </c>
    </row>
    <row r="75" spans="1:6" hidden="1" x14ac:dyDescent="0.35">
      <c r="A75" t="s">
        <v>471</v>
      </c>
      <c r="B75">
        <v>200</v>
      </c>
      <c r="C75" t="s">
        <v>472</v>
      </c>
      <c r="D75" t="s">
        <v>473</v>
      </c>
      <c r="F75" t="str">
        <f t="shared" ref="F75:F138" si="2">_xlfn.CONCAT(A75, " (", D75, ")")</f>
        <v>200-DCN-001 (DESIGN CHANGE NOTICE)</v>
      </c>
    </row>
    <row r="76" spans="1:6" hidden="1" x14ac:dyDescent="0.35">
      <c r="A76" t="s">
        <v>474</v>
      </c>
      <c r="B76">
        <v>200</v>
      </c>
      <c r="C76" t="s">
        <v>475</v>
      </c>
      <c r="D76" t="s">
        <v>476</v>
      </c>
      <c r="F76" t="str">
        <f t="shared" si="2"/>
        <v>200-DTA-001 (DATABASE)</v>
      </c>
    </row>
    <row r="77" spans="1:6" hidden="1" x14ac:dyDescent="0.35">
      <c r="A77" t="s">
        <v>477</v>
      </c>
      <c r="B77">
        <v>200</v>
      </c>
      <c r="C77" t="s">
        <v>478</v>
      </c>
      <c r="D77" t="s">
        <v>479</v>
      </c>
      <c r="F77" t="str">
        <f t="shared" si="2"/>
        <v>200-FDN-001 (FLOW DIAGRAM CHANGE NOTICE)</v>
      </c>
    </row>
    <row r="78" spans="1:6" hidden="1" x14ac:dyDescent="0.35">
      <c r="A78" t="s">
        <v>480</v>
      </c>
      <c r="B78">
        <v>200</v>
      </c>
      <c r="C78" t="s">
        <v>481</v>
      </c>
      <c r="D78" t="s">
        <v>482</v>
      </c>
      <c r="F78" t="str">
        <f t="shared" si="2"/>
        <v>200-IOM-001 (INSTALLATION OPERATION AND MAINTENANCE MANUAL)</v>
      </c>
    </row>
    <row r="79" spans="1:6" hidden="1" x14ac:dyDescent="0.35">
      <c r="A79" t="s">
        <v>483</v>
      </c>
      <c r="B79">
        <v>200</v>
      </c>
      <c r="C79" t="s">
        <v>484</v>
      </c>
      <c r="D79" t="s">
        <v>485</v>
      </c>
      <c r="E79" t="s">
        <v>486</v>
      </c>
      <c r="F79" t="str">
        <f t="shared" si="2"/>
        <v>200-LST-001 (LIST)</v>
      </c>
    </row>
    <row r="80" spans="1:6" hidden="1" x14ac:dyDescent="0.35">
      <c r="A80" t="s">
        <v>487</v>
      </c>
      <c r="B80">
        <v>200</v>
      </c>
      <c r="C80" t="s">
        <v>95</v>
      </c>
      <c r="D80" t="s">
        <v>488</v>
      </c>
      <c r="F80" t="str">
        <f t="shared" si="2"/>
        <v>200-MDR-001 (PROJECT MASTER DOCUMENT REGISTER)</v>
      </c>
    </row>
    <row r="81" spans="1:6" hidden="1" x14ac:dyDescent="0.35">
      <c r="A81" t="s">
        <v>489</v>
      </c>
      <c r="B81">
        <v>200</v>
      </c>
      <c r="C81" t="s">
        <v>490</v>
      </c>
      <c r="D81" t="s">
        <v>491</v>
      </c>
      <c r="E81" t="s">
        <v>492</v>
      </c>
      <c r="F81" t="str">
        <f t="shared" si="2"/>
        <v>200-RPT-001 (REPORT)</v>
      </c>
    </row>
    <row r="82" spans="1:6" hidden="1" x14ac:dyDescent="0.35">
      <c r="A82" t="s">
        <v>493</v>
      </c>
      <c r="B82">
        <v>200</v>
      </c>
      <c r="C82" t="s">
        <v>494</v>
      </c>
      <c r="D82" t="s">
        <v>495</v>
      </c>
      <c r="F82" t="str">
        <f t="shared" si="2"/>
        <v>200-TVR-001 (TURNOVER DOSSIER)</v>
      </c>
    </row>
    <row r="83" spans="1:6" hidden="1" x14ac:dyDescent="0.35">
      <c r="A83" t="s">
        <v>496</v>
      </c>
      <c r="B83">
        <v>210</v>
      </c>
      <c r="C83" t="s">
        <v>497</v>
      </c>
      <c r="D83" t="s">
        <v>498</v>
      </c>
      <c r="E83" t="s">
        <v>499</v>
      </c>
      <c r="F83" t="str">
        <f t="shared" si="2"/>
        <v>210-AUT-001 (AUTHORITY)</v>
      </c>
    </row>
    <row r="84" spans="1:6" hidden="1" x14ac:dyDescent="0.35">
      <c r="A84" t="s">
        <v>500</v>
      </c>
      <c r="B84">
        <v>210</v>
      </c>
      <c r="C84" t="s">
        <v>501</v>
      </c>
      <c r="D84" t="s">
        <v>502</v>
      </c>
      <c r="E84" t="s">
        <v>503</v>
      </c>
      <c r="F84" t="str">
        <f t="shared" si="2"/>
        <v>210-CAL-001 (CALCULATION)</v>
      </c>
    </row>
    <row r="85" spans="1:6" hidden="1" x14ac:dyDescent="0.35">
      <c r="A85" t="s">
        <v>504</v>
      </c>
      <c r="B85">
        <v>210</v>
      </c>
      <c r="C85" t="s">
        <v>505</v>
      </c>
      <c r="D85" t="s">
        <v>506</v>
      </c>
      <c r="E85" t="s">
        <v>507</v>
      </c>
      <c r="F85" t="str">
        <f t="shared" si="2"/>
        <v>210-CON-001 (CONTRACT)</v>
      </c>
    </row>
    <row r="86" spans="1:6" hidden="1" x14ac:dyDescent="0.35">
      <c r="A86" t="s">
        <v>508</v>
      </c>
      <c r="B86">
        <v>210</v>
      </c>
      <c r="C86" t="s">
        <v>509</v>
      </c>
      <c r="D86" t="s">
        <v>510</v>
      </c>
      <c r="F86" t="str">
        <f t="shared" si="2"/>
        <v>210-CWP-001 (CONSTRUCTION WORK PACKAGE)</v>
      </c>
    </row>
    <row r="87" spans="1:6" hidden="1" x14ac:dyDescent="0.35">
      <c r="A87" t="s">
        <v>511</v>
      </c>
      <c r="B87">
        <v>210</v>
      </c>
      <c r="C87" t="s">
        <v>512</v>
      </c>
      <c r="D87" t="s">
        <v>513</v>
      </c>
      <c r="E87" t="s">
        <v>514</v>
      </c>
      <c r="F87" t="str">
        <f t="shared" si="2"/>
        <v>210-DBD-001 (DESIGN BASIS AND CRITERIA)</v>
      </c>
    </row>
    <row r="88" spans="1:6" hidden="1" x14ac:dyDescent="0.35">
      <c r="A88" t="s">
        <v>515</v>
      </c>
      <c r="B88">
        <v>210</v>
      </c>
      <c r="C88" t="s">
        <v>469</v>
      </c>
      <c r="D88" t="s">
        <v>470</v>
      </c>
      <c r="F88" t="str">
        <f t="shared" si="2"/>
        <v>210-DBK-001 (PROJECT DATA BOOK)</v>
      </c>
    </row>
    <row r="89" spans="1:6" hidden="1" x14ac:dyDescent="0.35">
      <c r="A89" t="s">
        <v>516</v>
      </c>
      <c r="B89">
        <v>210</v>
      </c>
      <c r="C89" t="s">
        <v>517</v>
      </c>
      <c r="D89" t="s">
        <v>518</v>
      </c>
      <c r="E89" t="s">
        <v>519</v>
      </c>
      <c r="F89" t="str">
        <f t="shared" si="2"/>
        <v>210-DEM-001 (DEMOLITION)</v>
      </c>
    </row>
    <row r="90" spans="1:6" hidden="1" x14ac:dyDescent="0.35">
      <c r="A90" t="s">
        <v>520</v>
      </c>
      <c r="B90">
        <v>210</v>
      </c>
      <c r="C90" t="s">
        <v>521</v>
      </c>
      <c r="D90" t="s">
        <v>522</v>
      </c>
      <c r="E90" t="s">
        <v>523</v>
      </c>
      <c r="F90" t="str">
        <f t="shared" si="2"/>
        <v>210-DIA-001 (DIAGRAM)</v>
      </c>
    </row>
    <row r="91" spans="1:6" hidden="1" x14ac:dyDescent="0.35">
      <c r="A91" t="s">
        <v>524</v>
      </c>
      <c r="B91">
        <v>210</v>
      </c>
      <c r="C91" t="s">
        <v>525</v>
      </c>
      <c r="D91" t="s">
        <v>526</v>
      </c>
      <c r="E91" t="s">
        <v>527</v>
      </c>
      <c r="F91" t="str">
        <f t="shared" si="2"/>
        <v>210-DTL-001 (DETAILS)</v>
      </c>
    </row>
    <row r="92" spans="1:6" hidden="1" x14ac:dyDescent="0.35">
      <c r="A92" t="s">
        <v>528</v>
      </c>
      <c r="B92">
        <v>210</v>
      </c>
      <c r="C92" t="s">
        <v>529</v>
      </c>
      <c r="D92" t="s">
        <v>530</v>
      </c>
      <c r="E92" t="s">
        <v>531</v>
      </c>
      <c r="F92" t="str">
        <f t="shared" si="2"/>
        <v>210-GAD-001 (GENERAL ARRANGEMENT DRAWING)</v>
      </c>
    </row>
    <row r="93" spans="1:6" hidden="1" x14ac:dyDescent="0.35">
      <c r="A93" t="s">
        <v>532</v>
      </c>
      <c r="B93">
        <v>210</v>
      </c>
      <c r="C93" t="s">
        <v>484</v>
      </c>
      <c r="D93" t="s">
        <v>485</v>
      </c>
      <c r="E93" t="s">
        <v>533</v>
      </c>
      <c r="F93" t="str">
        <f t="shared" si="2"/>
        <v>210-LST-001 (LIST)</v>
      </c>
    </row>
    <row r="94" spans="1:6" hidden="1" x14ac:dyDescent="0.35">
      <c r="A94" t="s">
        <v>534</v>
      </c>
      <c r="B94">
        <v>210</v>
      </c>
      <c r="C94" t="s">
        <v>535</v>
      </c>
      <c r="D94" t="s">
        <v>536</v>
      </c>
      <c r="E94" t="s">
        <v>537</v>
      </c>
      <c r="F94" t="str">
        <f t="shared" si="2"/>
        <v>210-MTO-001 (MATERIAL TAKE OFF)</v>
      </c>
    </row>
    <row r="95" spans="1:6" hidden="1" x14ac:dyDescent="0.35">
      <c r="A95" t="s">
        <v>538</v>
      </c>
      <c r="B95">
        <v>210</v>
      </c>
      <c r="C95" t="s">
        <v>539</v>
      </c>
      <c r="D95" t="s">
        <v>540</v>
      </c>
      <c r="E95" t="s">
        <v>541</v>
      </c>
      <c r="F95" t="str">
        <f t="shared" si="2"/>
        <v>210-PLN-001 (PLAN)</v>
      </c>
    </row>
    <row r="96" spans="1:6" hidden="1" x14ac:dyDescent="0.35">
      <c r="A96" t="s">
        <v>542</v>
      </c>
      <c r="B96">
        <v>210</v>
      </c>
      <c r="C96" t="s">
        <v>543</v>
      </c>
      <c r="D96" t="s">
        <v>544</v>
      </c>
      <c r="E96" t="s">
        <v>545</v>
      </c>
      <c r="F96" t="str">
        <f t="shared" si="2"/>
        <v>210-PRO-001 (PROCUREMENT)</v>
      </c>
    </row>
    <row r="97" spans="1:6" hidden="1" x14ac:dyDescent="0.35">
      <c r="A97" t="s">
        <v>546</v>
      </c>
      <c r="B97">
        <v>210</v>
      </c>
      <c r="C97" t="s">
        <v>490</v>
      </c>
      <c r="D97" t="s">
        <v>491</v>
      </c>
      <c r="E97" t="s">
        <v>547</v>
      </c>
      <c r="F97" t="str">
        <f t="shared" si="2"/>
        <v>210-RPT-001 (REPORT)</v>
      </c>
    </row>
    <row r="98" spans="1:6" hidden="1" x14ac:dyDescent="0.35">
      <c r="A98" t="s">
        <v>548</v>
      </c>
      <c r="B98">
        <v>210</v>
      </c>
      <c r="C98" t="s">
        <v>549</v>
      </c>
      <c r="D98" t="s">
        <v>550</v>
      </c>
      <c r="F98" t="str">
        <f t="shared" si="2"/>
        <v>210-SKT-001 (SKETCH)</v>
      </c>
    </row>
    <row r="99" spans="1:6" hidden="1" x14ac:dyDescent="0.35">
      <c r="A99" t="s">
        <v>551</v>
      </c>
      <c r="B99">
        <v>210</v>
      </c>
      <c r="C99" t="s">
        <v>552</v>
      </c>
      <c r="D99" t="s">
        <v>553</v>
      </c>
      <c r="E99" t="s">
        <v>554</v>
      </c>
      <c r="F99" t="str">
        <f t="shared" si="2"/>
        <v>210-SPC-001 (SPECIFICATION)</v>
      </c>
    </row>
    <row r="100" spans="1:6" hidden="1" x14ac:dyDescent="0.35">
      <c r="A100" t="s">
        <v>555</v>
      </c>
      <c r="B100">
        <v>210</v>
      </c>
      <c r="C100" t="s">
        <v>556</v>
      </c>
      <c r="D100" t="s">
        <v>557</v>
      </c>
      <c r="E100" t="s">
        <v>558</v>
      </c>
      <c r="F100" t="str">
        <f t="shared" si="2"/>
        <v>210-STD-001 (STANDARD)</v>
      </c>
    </row>
    <row r="101" spans="1:6" x14ac:dyDescent="0.35">
      <c r="A101" t="s">
        <v>559</v>
      </c>
      <c r="B101">
        <v>215</v>
      </c>
      <c r="C101" t="s">
        <v>497</v>
      </c>
      <c r="D101" t="s">
        <v>498</v>
      </c>
      <c r="E101" t="s">
        <v>499</v>
      </c>
      <c r="F101" t="str">
        <f t="shared" si="2"/>
        <v>215-AUT-001 (AUTHORITY)</v>
      </c>
    </row>
    <row r="102" spans="1:6" x14ac:dyDescent="0.35">
      <c r="A102" t="s">
        <v>560</v>
      </c>
      <c r="B102">
        <v>215</v>
      </c>
      <c r="C102" t="s">
        <v>501</v>
      </c>
      <c r="D102" t="s">
        <v>502</v>
      </c>
      <c r="E102" t="s">
        <v>561</v>
      </c>
      <c r="F102" t="str">
        <f t="shared" si="2"/>
        <v>215-CAL-001 (CALCULATION)</v>
      </c>
    </row>
    <row r="103" spans="1:6" x14ac:dyDescent="0.35">
      <c r="A103" t="s">
        <v>562</v>
      </c>
      <c r="B103">
        <v>215</v>
      </c>
      <c r="C103" t="s">
        <v>505</v>
      </c>
      <c r="D103" t="s">
        <v>506</v>
      </c>
      <c r="E103" t="s">
        <v>507</v>
      </c>
      <c r="F103" t="str">
        <f t="shared" si="2"/>
        <v>215-CON-001 (CONTRACT)</v>
      </c>
    </row>
    <row r="104" spans="1:6" x14ac:dyDescent="0.35">
      <c r="A104" t="s">
        <v>563</v>
      </c>
      <c r="B104">
        <v>215</v>
      </c>
      <c r="C104" t="s">
        <v>509</v>
      </c>
      <c r="D104" t="s">
        <v>510</v>
      </c>
      <c r="F104" t="str">
        <f t="shared" si="2"/>
        <v>215-CWP-001 (CONSTRUCTION WORK PACKAGE)</v>
      </c>
    </row>
    <row r="105" spans="1:6" x14ac:dyDescent="0.35">
      <c r="A105" t="s">
        <v>564</v>
      </c>
      <c r="B105">
        <v>215</v>
      </c>
      <c r="C105" t="s">
        <v>512</v>
      </c>
      <c r="D105" t="s">
        <v>513</v>
      </c>
      <c r="E105" t="s">
        <v>565</v>
      </c>
      <c r="F105" t="str">
        <f t="shared" si="2"/>
        <v>215-DBD-001 (DESIGN BASIS AND CRITERIA)</v>
      </c>
    </row>
    <row r="106" spans="1:6" x14ac:dyDescent="0.35">
      <c r="A106" t="s">
        <v>566</v>
      </c>
      <c r="B106">
        <v>215</v>
      </c>
      <c r="C106" t="s">
        <v>469</v>
      </c>
      <c r="D106" t="s">
        <v>470</v>
      </c>
      <c r="F106" t="str">
        <f t="shared" si="2"/>
        <v>215-DBK-001 (PROJECT DATA BOOK)</v>
      </c>
    </row>
    <row r="107" spans="1:6" x14ac:dyDescent="0.35">
      <c r="A107" t="s">
        <v>567</v>
      </c>
      <c r="B107">
        <v>215</v>
      </c>
      <c r="C107" t="s">
        <v>517</v>
      </c>
      <c r="D107" t="s">
        <v>518</v>
      </c>
      <c r="E107" t="s">
        <v>519</v>
      </c>
      <c r="F107" t="str">
        <f t="shared" si="2"/>
        <v>215-DEM-001 (DEMOLITION)</v>
      </c>
    </row>
    <row r="108" spans="1:6" x14ac:dyDescent="0.35">
      <c r="A108" t="s">
        <v>568</v>
      </c>
      <c r="B108">
        <v>215</v>
      </c>
      <c r="C108" t="s">
        <v>525</v>
      </c>
      <c r="D108" t="s">
        <v>526</v>
      </c>
      <c r="E108" t="s">
        <v>569</v>
      </c>
      <c r="F108" t="str">
        <f t="shared" si="2"/>
        <v>215-DTL-001 (DETAILS)</v>
      </c>
    </row>
    <row r="109" spans="1:6" x14ac:dyDescent="0.35">
      <c r="A109" t="s">
        <v>570</v>
      </c>
      <c r="B109">
        <v>215</v>
      </c>
      <c r="C109" t="s">
        <v>529</v>
      </c>
      <c r="D109" t="s">
        <v>571</v>
      </c>
      <c r="E109" t="s">
        <v>572</v>
      </c>
      <c r="F109" t="str">
        <f t="shared" si="2"/>
        <v>215-GAD-001 (GENERAL ARRANGEMENT DRAWIING)</v>
      </c>
    </row>
    <row r="110" spans="1:6" x14ac:dyDescent="0.35">
      <c r="A110" t="s">
        <v>573</v>
      </c>
      <c r="B110">
        <v>215</v>
      </c>
      <c r="C110" t="s">
        <v>484</v>
      </c>
      <c r="D110" t="s">
        <v>485</v>
      </c>
      <c r="E110" t="s">
        <v>533</v>
      </c>
      <c r="F110" t="str">
        <f t="shared" si="2"/>
        <v>215-LST-001 (LIST)</v>
      </c>
    </row>
    <row r="111" spans="1:6" x14ac:dyDescent="0.35">
      <c r="A111" t="s">
        <v>574</v>
      </c>
      <c r="B111">
        <v>215</v>
      </c>
      <c r="C111" t="s">
        <v>535</v>
      </c>
      <c r="D111" t="s">
        <v>536</v>
      </c>
      <c r="E111" t="s">
        <v>537</v>
      </c>
      <c r="F111" t="str">
        <f t="shared" si="2"/>
        <v>215-MTO-001 (MATERIAL TAKE OFF)</v>
      </c>
    </row>
    <row r="112" spans="1:6" x14ac:dyDescent="0.35">
      <c r="A112" t="s">
        <v>575</v>
      </c>
      <c r="B112">
        <v>215</v>
      </c>
      <c r="C112" t="s">
        <v>539</v>
      </c>
      <c r="D112" t="s">
        <v>540</v>
      </c>
      <c r="E112" t="s">
        <v>576</v>
      </c>
      <c r="F112" t="str">
        <f t="shared" si="2"/>
        <v>215-PLN-001 (PLAN)</v>
      </c>
    </row>
    <row r="113" spans="1:6" x14ac:dyDescent="0.35">
      <c r="A113" t="s">
        <v>577</v>
      </c>
      <c r="B113">
        <v>215</v>
      </c>
      <c r="C113" t="s">
        <v>543</v>
      </c>
      <c r="D113" t="s">
        <v>544</v>
      </c>
      <c r="E113" t="s">
        <v>545</v>
      </c>
      <c r="F113" t="str">
        <f t="shared" si="2"/>
        <v>215-PRO-001 (PROCUREMENT)</v>
      </c>
    </row>
    <row r="114" spans="1:6" x14ac:dyDescent="0.35">
      <c r="A114" t="s">
        <v>578</v>
      </c>
      <c r="B114">
        <v>215</v>
      </c>
      <c r="C114" t="s">
        <v>490</v>
      </c>
      <c r="D114" t="s">
        <v>491</v>
      </c>
      <c r="E114" t="s">
        <v>579</v>
      </c>
      <c r="F114" t="str">
        <f t="shared" si="2"/>
        <v>215-RPT-001 (REPORT)</v>
      </c>
    </row>
    <row r="115" spans="1:6" x14ac:dyDescent="0.35">
      <c r="A115" t="s">
        <v>580</v>
      </c>
      <c r="B115">
        <v>215</v>
      </c>
      <c r="C115" t="s">
        <v>581</v>
      </c>
      <c r="D115" t="s">
        <v>582</v>
      </c>
      <c r="E115" t="s">
        <v>583</v>
      </c>
      <c r="F115" t="str">
        <f t="shared" si="2"/>
        <v>215-SCH-001 (SCHEDULE)</v>
      </c>
    </row>
    <row r="116" spans="1:6" x14ac:dyDescent="0.35">
      <c r="A116" t="s">
        <v>584</v>
      </c>
      <c r="B116">
        <v>215</v>
      </c>
      <c r="C116" t="s">
        <v>549</v>
      </c>
      <c r="D116" t="s">
        <v>550</v>
      </c>
      <c r="F116" t="str">
        <f t="shared" si="2"/>
        <v>215-SKT-001 (SKETCH)</v>
      </c>
    </row>
    <row r="117" spans="1:6" x14ac:dyDescent="0.35">
      <c r="A117" t="s">
        <v>585</v>
      </c>
      <c r="B117">
        <v>215</v>
      </c>
      <c r="C117" t="s">
        <v>552</v>
      </c>
      <c r="D117" t="s">
        <v>553</v>
      </c>
      <c r="E117" t="s">
        <v>586</v>
      </c>
      <c r="F117" t="str">
        <f t="shared" si="2"/>
        <v>215-SPC-001 (SPECIFICATION)</v>
      </c>
    </row>
    <row r="118" spans="1:6" x14ac:dyDescent="0.35">
      <c r="A118" t="s">
        <v>587</v>
      </c>
      <c r="B118">
        <v>215</v>
      </c>
      <c r="C118" t="s">
        <v>556</v>
      </c>
      <c r="D118" t="s">
        <v>557</v>
      </c>
      <c r="E118" t="s">
        <v>588</v>
      </c>
      <c r="F118" t="str">
        <f t="shared" si="2"/>
        <v>215-STD-001 (STANDARD)</v>
      </c>
    </row>
    <row r="119" spans="1:6" hidden="1" x14ac:dyDescent="0.35">
      <c r="A119" t="s">
        <v>589</v>
      </c>
      <c r="B119">
        <v>220</v>
      </c>
      <c r="C119" t="s">
        <v>497</v>
      </c>
      <c r="D119" t="s">
        <v>498</v>
      </c>
      <c r="E119" t="s">
        <v>499</v>
      </c>
      <c r="F119" t="str">
        <f t="shared" si="2"/>
        <v>220-AUT-001 (AUTHORITY)</v>
      </c>
    </row>
    <row r="120" spans="1:6" hidden="1" x14ac:dyDescent="0.35">
      <c r="A120" t="s">
        <v>590</v>
      </c>
      <c r="B120">
        <v>220</v>
      </c>
      <c r="C120" t="s">
        <v>501</v>
      </c>
      <c r="D120" t="s">
        <v>502</v>
      </c>
      <c r="E120" t="s">
        <v>591</v>
      </c>
      <c r="F120" t="str">
        <f t="shared" si="2"/>
        <v>220-CAL-001 (CALCULATION)</v>
      </c>
    </row>
    <row r="121" spans="1:6" hidden="1" x14ac:dyDescent="0.35">
      <c r="A121" t="s">
        <v>592</v>
      </c>
      <c r="B121">
        <v>220</v>
      </c>
      <c r="C121" t="s">
        <v>505</v>
      </c>
      <c r="D121" t="s">
        <v>506</v>
      </c>
      <c r="E121" t="s">
        <v>507</v>
      </c>
      <c r="F121" t="str">
        <f t="shared" si="2"/>
        <v>220-CON-001 (CONTRACT)</v>
      </c>
    </row>
    <row r="122" spans="1:6" hidden="1" x14ac:dyDescent="0.35">
      <c r="A122" t="s">
        <v>592</v>
      </c>
      <c r="B122">
        <v>220</v>
      </c>
      <c r="C122" t="s">
        <v>505</v>
      </c>
      <c r="D122" t="s">
        <v>506</v>
      </c>
      <c r="E122" t="s">
        <v>507</v>
      </c>
      <c r="F122" t="str">
        <f t="shared" si="2"/>
        <v>220-CON-001 (CONTRACT)</v>
      </c>
    </row>
    <row r="123" spans="1:6" hidden="1" x14ac:dyDescent="0.35">
      <c r="A123" t="s">
        <v>593</v>
      </c>
      <c r="B123">
        <v>220</v>
      </c>
      <c r="C123" t="s">
        <v>509</v>
      </c>
      <c r="D123" t="s">
        <v>510</v>
      </c>
      <c r="F123" t="str">
        <f t="shared" si="2"/>
        <v>220-CWP-001 (CONSTRUCTION WORK PACKAGE)</v>
      </c>
    </row>
    <row r="124" spans="1:6" hidden="1" x14ac:dyDescent="0.35">
      <c r="A124" t="s">
        <v>593</v>
      </c>
      <c r="B124">
        <v>220</v>
      </c>
      <c r="C124" t="s">
        <v>509</v>
      </c>
      <c r="D124" t="s">
        <v>510</v>
      </c>
      <c r="F124" t="str">
        <f t="shared" si="2"/>
        <v>220-CWP-001 (CONSTRUCTION WORK PACKAGE)</v>
      </c>
    </row>
    <row r="125" spans="1:6" hidden="1" x14ac:dyDescent="0.35">
      <c r="A125" t="s">
        <v>594</v>
      </c>
      <c r="B125">
        <v>220</v>
      </c>
      <c r="C125" t="s">
        <v>512</v>
      </c>
      <c r="D125" t="s">
        <v>513</v>
      </c>
      <c r="E125" t="s">
        <v>595</v>
      </c>
      <c r="F125" t="str">
        <f t="shared" si="2"/>
        <v>220-DBD-001 (DESIGN BASIS AND CRITERIA)</v>
      </c>
    </row>
    <row r="126" spans="1:6" hidden="1" x14ac:dyDescent="0.35">
      <c r="A126" t="s">
        <v>594</v>
      </c>
      <c r="B126">
        <v>220</v>
      </c>
      <c r="C126" t="s">
        <v>512</v>
      </c>
      <c r="D126" t="s">
        <v>513</v>
      </c>
      <c r="E126" t="s">
        <v>595</v>
      </c>
      <c r="F126" t="str">
        <f t="shared" si="2"/>
        <v>220-DBD-001 (DESIGN BASIS AND CRITERIA)</v>
      </c>
    </row>
    <row r="127" spans="1:6" hidden="1" x14ac:dyDescent="0.35">
      <c r="A127" t="s">
        <v>596</v>
      </c>
      <c r="B127">
        <v>220</v>
      </c>
      <c r="C127" t="s">
        <v>469</v>
      </c>
      <c r="D127" t="s">
        <v>470</v>
      </c>
      <c r="F127" t="str">
        <f t="shared" si="2"/>
        <v>220-DBK-001 (PROJECT DATA BOOK)</v>
      </c>
    </row>
    <row r="128" spans="1:6" hidden="1" x14ac:dyDescent="0.35">
      <c r="A128" t="s">
        <v>596</v>
      </c>
      <c r="B128">
        <v>220</v>
      </c>
      <c r="C128" t="s">
        <v>469</v>
      </c>
      <c r="D128" t="s">
        <v>470</v>
      </c>
      <c r="F128" t="str">
        <f t="shared" si="2"/>
        <v>220-DBK-001 (PROJECT DATA BOOK)</v>
      </c>
    </row>
    <row r="129" spans="1:6" hidden="1" x14ac:dyDescent="0.35">
      <c r="A129" t="s">
        <v>597</v>
      </c>
      <c r="B129">
        <v>220</v>
      </c>
      <c r="C129" t="s">
        <v>517</v>
      </c>
      <c r="D129" t="s">
        <v>518</v>
      </c>
      <c r="E129" t="s">
        <v>519</v>
      </c>
      <c r="F129" t="str">
        <f t="shared" si="2"/>
        <v>220-DEM-001 (DEMOLITION)</v>
      </c>
    </row>
    <row r="130" spans="1:6" hidden="1" x14ac:dyDescent="0.35">
      <c r="A130" t="s">
        <v>597</v>
      </c>
      <c r="B130">
        <v>220</v>
      </c>
      <c r="C130" t="s">
        <v>517</v>
      </c>
      <c r="D130" t="s">
        <v>518</v>
      </c>
      <c r="E130" t="s">
        <v>519</v>
      </c>
      <c r="F130" t="str">
        <f t="shared" si="2"/>
        <v>220-DEM-001 (DEMOLITION)</v>
      </c>
    </row>
    <row r="131" spans="1:6" hidden="1" x14ac:dyDescent="0.35">
      <c r="A131" t="s">
        <v>598</v>
      </c>
      <c r="B131">
        <v>220</v>
      </c>
      <c r="C131" t="s">
        <v>521</v>
      </c>
      <c r="D131" t="s">
        <v>522</v>
      </c>
      <c r="E131" t="s">
        <v>599</v>
      </c>
      <c r="F131" t="str">
        <f t="shared" si="2"/>
        <v>220-DIA-001 (DIAGRAM)</v>
      </c>
    </row>
    <row r="132" spans="1:6" hidden="1" x14ac:dyDescent="0.35">
      <c r="A132" t="s">
        <v>598</v>
      </c>
      <c r="B132">
        <v>220</v>
      </c>
      <c r="C132" t="s">
        <v>521</v>
      </c>
      <c r="D132" t="s">
        <v>522</v>
      </c>
      <c r="E132" t="s">
        <v>599</v>
      </c>
      <c r="F132" t="str">
        <f t="shared" si="2"/>
        <v>220-DIA-001 (DIAGRAM)</v>
      </c>
    </row>
    <row r="133" spans="1:6" hidden="1" x14ac:dyDescent="0.35">
      <c r="A133" t="s">
        <v>600</v>
      </c>
      <c r="B133">
        <v>220</v>
      </c>
      <c r="C133" t="s">
        <v>525</v>
      </c>
      <c r="D133" t="s">
        <v>526</v>
      </c>
      <c r="E133" t="s">
        <v>601</v>
      </c>
      <c r="F133" t="str">
        <f t="shared" si="2"/>
        <v>220-DTL-001 (DETAILS)</v>
      </c>
    </row>
    <row r="134" spans="1:6" hidden="1" x14ac:dyDescent="0.35">
      <c r="A134" t="s">
        <v>600</v>
      </c>
      <c r="B134">
        <v>220</v>
      </c>
      <c r="C134" t="s">
        <v>525</v>
      </c>
      <c r="D134" t="s">
        <v>526</v>
      </c>
      <c r="E134" t="s">
        <v>601</v>
      </c>
      <c r="F134" t="str">
        <f t="shared" si="2"/>
        <v>220-DTL-001 (DETAILS)</v>
      </c>
    </row>
    <row r="135" spans="1:6" hidden="1" x14ac:dyDescent="0.35">
      <c r="A135" t="s">
        <v>602</v>
      </c>
      <c r="B135">
        <v>220</v>
      </c>
      <c r="C135" t="s">
        <v>603</v>
      </c>
      <c r="D135" t="s">
        <v>604</v>
      </c>
      <c r="E135" t="s">
        <v>605</v>
      </c>
      <c r="F135" t="str">
        <f t="shared" si="2"/>
        <v>220-ELE-001 (ELEVATION)</v>
      </c>
    </row>
    <row r="136" spans="1:6" hidden="1" x14ac:dyDescent="0.35">
      <c r="A136" t="s">
        <v>602</v>
      </c>
      <c r="B136">
        <v>220</v>
      </c>
      <c r="C136" t="s">
        <v>603</v>
      </c>
      <c r="D136" t="s">
        <v>604</v>
      </c>
      <c r="E136" t="s">
        <v>605</v>
      </c>
      <c r="F136" t="str">
        <f t="shared" si="2"/>
        <v>220-ELE-001 (ELEVATION)</v>
      </c>
    </row>
    <row r="137" spans="1:6" hidden="1" x14ac:dyDescent="0.35">
      <c r="A137" t="s">
        <v>606</v>
      </c>
      <c r="B137">
        <v>220</v>
      </c>
      <c r="C137" t="s">
        <v>484</v>
      </c>
      <c r="D137" t="s">
        <v>485</v>
      </c>
      <c r="E137" t="s">
        <v>607</v>
      </c>
      <c r="F137" t="str">
        <f t="shared" si="2"/>
        <v>220-LST-001 (LIST)</v>
      </c>
    </row>
    <row r="138" spans="1:6" hidden="1" x14ac:dyDescent="0.35">
      <c r="A138" t="s">
        <v>606</v>
      </c>
      <c r="B138">
        <v>220</v>
      </c>
      <c r="C138" t="s">
        <v>484</v>
      </c>
      <c r="D138" t="s">
        <v>485</v>
      </c>
      <c r="E138" t="s">
        <v>607</v>
      </c>
      <c r="F138" t="str">
        <f t="shared" si="2"/>
        <v>220-LST-001 (LIST)</v>
      </c>
    </row>
    <row r="139" spans="1:6" hidden="1" x14ac:dyDescent="0.35">
      <c r="A139" t="s">
        <v>608</v>
      </c>
      <c r="B139">
        <v>220</v>
      </c>
      <c r="C139" t="s">
        <v>535</v>
      </c>
      <c r="D139" t="s">
        <v>536</v>
      </c>
      <c r="E139" t="s">
        <v>537</v>
      </c>
      <c r="F139" t="str">
        <f t="shared" ref="F139:F202" si="3">_xlfn.CONCAT(A139, " (", D139, ")")</f>
        <v>220-MTO-001 (MATERIAL TAKE OFF)</v>
      </c>
    </row>
    <row r="140" spans="1:6" hidden="1" x14ac:dyDescent="0.35">
      <c r="A140" t="s">
        <v>608</v>
      </c>
      <c r="B140">
        <v>220</v>
      </c>
      <c r="C140" t="s">
        <v>535</v>
      </c>
      <c r="D140" t="s">
        <v>536</v>
      </c>
      <c r="E140" t="s">
        <v>537</v>
      </c>
      <c r="F140" t="str">
        <f t="shared" si="3"/>
        <v>220-MTO-001 (MATERIAL TAKE OFF)</v>
      </c>
    </row>
    <row r="141" spans="1:6" hidden="1" x14ac:dyDescent="0.35">
      <c r="A141" t="s">
        <v>609</v>
      </c>
      <c r="B141">
        <v>220</v>
      </c>
      <c r="C141" t="s">
        <v>539</v>
      </c>
      <c r="D141" t="s">
        <v>540</v>
      </c>
      <c r="E141" t="s">
        <v>610</v>
      </c>
      <c r="F141" t="str">
        <f t="shared" si="3"/>
        <v>220-PLN-001 (PLAN)</v>
      </c>
    </row>
    <row r="142" spans="1:6" hidden="1" x14ac:dyDescent="0.35">
      <c r="A142" t="s">
        <v>609</v>
      </c>
      <c r="B142">
        <v>220</v>
      </c>
      <c r="C142" t="s">
        <v>539</v>
      </c>
      <c r="D142" t="s">
        <v>540</v>
      </c>
      <c r="E142" t="s">
        <v>610</v>
      </c>
      <c r="F142" t="str">
        <f t="shared" si="3"/>
        <v>220-PLN-001 (PLAN)</v>
      </c>
    </row>
    <row r="143" spans="1:6" hidden="1" x14ac:dyDescent="0.35">
      <c r="A143" t="s">
        <v>611</v>
      </c>
      <c r="B143">
        <v>220</v>
      </c>
      <c r="C143" t="s">
        <v>543</v>
      </c>
      <c r="D143" t="s">
        <v>544</v>
      </c>
      <c r="E143" t="s">
        <v>545</v>
      </c>
      <c r="F143" t="str">
        <f t="shared" si="3"/>
        <v>220-PRO-001 (PROCUREMENT)</v>
      </c>
    </row>
    <row r="144" spans="1:6" hidden="1" x14ac:dyDescent="0.35">
      <c r="A144" t="s">
        <v>611</v>
      </c>
      <c r="B144">
        <v>220</v>
      </c>
      <c r="C144" t="s">
        <v>543</v>
      </c>
      <c r="D144" t="s">
        <v>544</v>
      </c>
      <c r="E144" t="s">
        <v>545</v>
      </c>
      <c r="F144" t="str">
        <f t="shared" si="3"/>
        <v>220-PRO-001 (PROCUREMENT)</v>
      </c>
    </row>
    <row r="145" spans="1:6" hidden="1" x14ac:dyDescent="0.35">
      <c r="A145" t="s">
        <v>612</v>
      </c>
      <c r="B145">
        <v>220</v>
      </c>
      <c r="C145" t="s">
        <v>490</v>
      </c>
      <c r="D145" t="s">
        <v>491</v>
      </c>
      <c r="E145" t="s">
        <v>613</v>
      </c>
      <c r="F145" t="str">
        <f t="shared" si="3"/>
        <v>220-RPT-001 (REPORT)</v>
      </c>
    </row>
    <row r="146" spans="1:6" hidden="1" x14ac:dyDescent="0.35">
      <c r="A146" t="s">
        <v>612</v>
      </c>
      <c r="B146">
        <v>220</v>
      </c>
      <c r="C146" t="s">
        <v>490</v>
      </c>
      <c r="D146" t="s">
        <v>491</v>
      </c>
      <c r="E146" t="s">
        <v>613</v>
      </c>
      <c r="F146" t="str">
        <f t="shared" si="3"/>
        <v>220-RPT-001 (REPORT)</v>
      </c>
    </row>
    <row r="147" spans="1:6" hidden="1" x14ac:dyDescent="0.35">
      <c r="A147" t="s">
        <v>614</v>
      </c>
      <c r="B147">
        <v>220</v>
      </c>
      <c r="C147" t="s">
        <v>581</v>
      </c>
      <c r="D147" t="s">
        <v>582</v>
      </c>
      <c r="E147" t="s">
        <v>615</v>
      </c>
      <c r="F147" t="str">
        <f t="shared" si="3"/>
        <v>220-SCH-001 (SCHEDULE)</v>
      </c>
    </row>
    <row r="148" spans="1:6" hidden="1" x14ac:dyDescent="0.35">
      <c r="A148" t="s">
        <v>614</v>
      </c>
      <c r="B148">
        <v>220</v>
      </c>
      <c r="C148" t="s">
        <v>581</v>
      </c>
      <c r="D148" t="s">
        <v>582</v>
      </c>
      <c r="E148" t="s">
        <v>615</v>
      </c>
      <c r="F148" t="str">
        <f t="shared" si="3"/>
        <v>220-SCH-001 (SCHEDULE)</v>
      </c>
    </row>
    <row r="149" spans="1:6" hidden="1" x14ac:dyDescent="0.35">
      <c r="A149" t="s">
        <v>616</v>
      </c>
      <c r="B149">
        <v>220</v>
      </c>
      <c r="C149" t="s">
        <v>617</v>
      </c>
      <c r="D149" t="s">
        <v>618</v>
      </c>
      <c r="E149" t="s">
        <v>619</v>
      </c>
      <c r="F149" t="str">
        <f t="shared" si="3"/>
        <v>220-SEC-001 (SECTION)</v>
      </c>
    </row>
    <row r="150" spans="1:6" hidden="1" x14ac:dyDescent="0.35">
      <c r="A150" t="s">
        <v>616</v>
      </c>
      <c r="B150">
        <v>220</v>
      </c>
      <c r="C150" t="s">
        <v>617</v>
      </c>
      <c r="D150" t="s">
        <v>618</v>
      </c>
      <c r="E150" t="s">
        <v>619</v>
      </c>
      <c r="F150" t="str">
        <f t="shared" si="3"/>
        <v>220-SEC-001 (SECTION)</v>
      </c>
    </row>
    <row r="151" spans="1:6" hidden="1" x14ac:dyDescent="0.35">
      <c r="A151" t="s">
        <v>620</v>
      </c>
      <c r="B151">
        <v>220</v>
      </c>
      <c r="C151" t="s">
        <v>621</v>
      </c>
      <c r="D151" t="s">
        <v>622</v>
      </c>
      <c r="E151" t="s">
        <v>623</v>
      </c>
      <c r="F151" t="str">
        <f t="shared" si="3"/>
        <v>220-SMP-001 (SAMPLE)</v>
      </c>
    </row>
    <row r="152" spans="1:6" hidden="1" x14ac:dyDescent="0.35">
      <c r="A152" t="s">
        <v>620</v>
      </c>
      <c r="B152">
        <v>220</v>
      </c>
      <c r="C152" t="s">
        <v>621</v>
      </c>
      <c r="D152" t="s">
        <v>622</v>
      </c>
      <c r="E152" t="s">
        <v>623</v>
      </c>
      <c r="F152" t="str">
        <f t="shared" si="3"/>
        <v>220-SMP-001 (SAMPLE)</v>
      </c>
    </row>
    <row r="153" spans="1:6" hidden="1" x14ac:dyDescent="0.35">
      <c r="A153" t="s">
        <v>624</v>
      </c>
      <c r="B153">
        <v>220</v>
      </c>
      <c r="C153" t="s">
        <v>552</v>
      </c>
      <c r="D153" t="s">
        <v>553</v>
      </c>
      <c r="E153" t="s">
        <v>625</v>
      </c>
      <c r="F153" t="str">
        <f t="shared" si="3"/>
        <v>220-SPC-001 (SPECIFICATION)</v>
      </c>
    </row>
    <row r="154" spans="1:6" hidden="1" x14ac:dyDescent="0.35">
      <c r="A154" t="s">
        <v>624</v>
      </c>
      <c r="B154">
        <v>220</v>
      </c>
      <c r="C154" t="s">
        <v>552</v>
      </c>
      <c r="D154" t="s">
        <v>553</v>
      </c>
      <c r="E154" t="s">
        <v>625</v>
      </c>
      <c r="F154" t="str">
        <f t="shared" si="3"/>
        <v>220-SPC-001 (SPECIFICATION)</v>
      </c>
    </row>
    <row r="155" spans="1:6" hidden="1" x14ac:dyDescent="0.35">
      <c r="A155" t="s">
        <v>626</v>
      </c>
      <c r="B155">
        <v>220</v>
      </c>
      <c r="C155" t="s">
        <v>556</v>
      </c>
      <c r="D155" t="s">
        <v>557</v>
      </c>
      <c r="E155" t="s">
        <v>627</v>
      </c>
      <c r="F155" t="str">
        <f t="shared" si="3"/>
        <v>220-STD-001 (STANDARD)</v>
      </c>
    </row>
    <row r="156" spans="1:6" hidden="1" x14ac:dyDescent="0.35">
      <c r="A156" t="s">
        <v>626</v>
      </c>
      <c r="B156">
        <v>220</v>
      </c>
      <c r="C156" t="s">
        <v>556</v>
      </c>
      <c r="D156" t="s">
        <v>557</v>
      </c>
      <c r="E156" t="s">
        <v>627</v>
      </c>
      <c r="F156" t="str">
        <f t="shared" si="3"/>
        <v>220-STD-001 (STANDARD)</v>
      </c>
    </row>
    <row r="157" spans="1:6" hidden="1" x14ac:dyDescent="0.35">
      <c r="A157" t="s">
        <v>628</v>
      </c>
      <c r="B157">
        <v>220</v>
      </c>
      <c r="C157" t="s">
        <v>629</v>
      </c>
      <c r="D157" t="s">
        <v>630</v>
      </c>
      <c r="E157" t="s">
        <v>631</v>
      </c>
      <c r="F157" t="str">
        <f t="shared" si="3"/>
        <v>220-VIS-001 (VISUALISATION)</v>
      </c>
    </row>
    <row r="158" spans="1:6" hidden="1" x14ac:dyDescent="0.35">
      <c r="A158" t="s">
        <v>628</v>
      </c>
      <c r="B158">
        <v>220</v>
      </c>
      <c r="C158" t="s">
        <v>629</v>
      </c>
      <c r="D158" t="s">
        <v>630</v>
      </c>
      <c r="E158" t="s">
        <v>631</v>
      </c>
      <c r="F158" t="str">
        <f t="shared" si="3"/>
        <v>220-VIS-001 (VISUALISATION)</v>
      </c>
    </row>
    <row r="159" spans="1:6" hidden="1" x14ac:dyDescent="0.35">
      <c r="A159" t="s">
        <v>632</v>
      </c>
      <c r="B159">
        <v>225</v>
      </c>
      <c r="C159" t="s">
        <v>501</v>
      </c>
      <c r="D159" t="s">
        <v>502</v>
      </c>
      <c r="E159" t="s">
        <v>633</v>
      </c>
      <c r="F159" t="str">
        <f t="shared" si="3"/>
        <v>225-CAL-001 (CALCULATION)</v>
      </c>
    </row>
    <row r="160" spans="1:6" hidden="1" x14ac:dyDescent="0.35">
      <c r="A160" t="s">
        <v>632</v>
      </c>
      <c r="B160">
        <v>225</v>
      </c>
      <c r="C160" t="s">
        <v>501</v>
      </c>
      <c r="D160" t="s">
        <v>502</v>
      </c>
      <c r="E160" t="s">
        <v>633</v>
      </c>
      <c r="F160" t="str">
        <f t="shared" si="3"/>
        <v>225-CAL-001 (CALCULATION)</v>
      </c>
    </row>
    <row r="161" spans="1:6" hidden="1" x14ac:dyDescent="0.35">
      <c r="A161" t="s">
        <v>634</v>
      </c>
      <c r="B161">
        <v>225</v>
      </c>
      <c r="C161" t="s">
        <v>512</v>
      </c>
      <c r="D161" t="s">
        <v>513</v>
      </c>
      <c r="E161" t="s">
        <v>635</v>
      </c>
      <c r="F161" t="str">
        <f t="shared" si="3"/>
        <v>225-DBD-001 (DESIGN BASIS AND CRITERIA)</v>
      </c>
    </row>
    <row r="162" spans="1:6" hidden="1" x14ac:dyDescent="0.35">
      <c r="A162" t="s">
        <v>634</v>
      </c>
      <c r="B162">
        <v>225</v>
      </c>
      <c r="C162" t="s">
        <v>512</v>
      </c>
      <c r="D162" t="s">
        <v>513</v>
      </c>
      <c r="E162" t="s">
        <v>635</v>
      </c>
      <c r="F162" t="str">
        <f t="shared" si="3"/>
        <v>225-DBD-001 (DESIGN BASIS AND CRITERIA)</v>
      </c>
    </row>
    <row r="163" spans="1:6" hidden="1" x14ac:dyDescent="0.35">
      <c r="A163" t="s">
        <v>636</v>
      </c>
      <c r="B163">
        <v>225</v>
      </c>
      <c r="C163" t="s">
        <v>469</v>
      </c>
      <c r="D163" t="s">
        <v>470</v>
      </c>
      <c r="F163" t="str">
        <f t="shared" si="3"/>
        <v>225-DBK-001 (PROJECT DATA BOOK)</v>
      </c>
    </row>
    <row r="164" spans="1:6" hidden="1" x14ac:dyDescent="0.35">
      <c r="A164" t="s">
        <v>636</v>
      </c>
      <c r="B164">
        <v>225</v>
      </c>
      <c r="C164" t="s">
        <v>469</v>
      </c>
      <c r="D164" t="s">
        <v>470</v>
      </c>
      <c r="F164" t="str">
        <f t="shared" si="3"/>
        <v>225-DBK-001 (PROJECT DATA BOOK)</v>
      </c>
    </row>
    <row r="165" spans="1:6" hidden="1" x14ac:dyDescent="0.35">
      <c r="A165" t="s">
        <v>637</v>
      </c>
      <c r="B165">
        <v>225</v>
      </c>
      <c r="C165" t="s">
        <v>521</v>
      </c>
      <c r="D165" t="s">
        <v>522</v>
      </c>
      <c r="E165" t="s">
        <v>638</v>
      </c>
      <c r="F165" t="str">
        <f t="shared" si="3"/>
        <v>225-DIA-001 (DIAGRAM)</v>
      </c>
    </row>
    <row r="166" spans="1:6" hidden="1" x14ac:dyDescent="0.35">
      <c r="A166" t="s">
        <v>637</v>
      </c>
      <c r="B166">
        <v>225</v>
      </c>
      <c r="C166" t="s">
        <v>521</v>
      </c>
      <c r="D166" t="s">
        <v>522</v>
      </c>
      <c r="E166" t="s">
        <v>638</v>
      </c>
      <c r="F166" t="str">
        <f t="shared" si="3"/>
        <v>225-DIA-001 (DIAGRAM)</v>
      </c>
    </row>
    <row r="167" spans="1:6" hidden="1" x14ac:dyDescent="0.35">
      <c r="A167" t="s">
        <v>639</v>
      </c>
      <c r="B167">
        <v>225</v>
      </c>
      <c r="C167" t="s">
        <v>484</v>
      </c>
      <c r="D167" t="s">
        <v>485</v>
      </c>
      <c r="E167" t="s">
        <v>640</v>
      </c>
      <c r="F167" t="str">
        <f t="shared" si="3"/>
        <v>225-LST-001 (LIST)</v>
      </c>
    </row>
    <row r="168" spans="1:6" hidden="1" x14ac:dyDescent="0.35">
      <c r="A168" t="s">
        <v>639</v>
      </c>
      <c r="B168">
        <v>225</v>
      </c>
      <c r="C168" t="s">
        <v>484</v>
      </c>
      <c r="D168" t="s">
        <v>485</v>
      </c>
      <c r="E168" t="s">
        <v>640</v>
      </c>
      <c r="F168" t="str">
        <f t="shared" si="3"/>
        <v>225-LST-001 (LIST)</v>
      </c>
    </row>
    <row r="169" spans="1:6" hidden="1" x14ac:dyDescent="0.35">
      <c r="A169" t="s">
        <v>641</v>
      </c>
      <c r="B169">
        <v>225</v>
      </c>
      <c r="C169" t="s">
        <v>642</v>
      </c>
      <c r="D169" t="s">
        <v>643</v>
      </c>
      <c r="E169" t="s">
        <v>644</v>
      </c>
      <c r="F169" t="str">
        <f t="shared" si="3"/>
        <v>225-NAR-002 (NARRATIVE)</v>
      </c>
    </row>
    <row r="170" spans="1:6" hidden="1" x14ac:dyDescent="0.35">
      <c r="A170" t="s">
        <v>641</v>
      </c>
      <c r="B170">
        <v>225</v>
      </c>
      <c r="C170" t="s">
        <v>642</v>
      </c>
      <c r="D170" t="s">
        <v>643</v>
      </c>
      <c r="E170" t="s">
        <v>644</v>
      </c>
      <c r="F170" t="str">
        <f t="shared" si="3"/>
        <v>225-NAR-002 (NARRATIVE)</v>
      </c>
    </row>
    <row r="171" spans="1:6" hidden="1" x14ac:dyDescent="0.35">
      <c r="A171" t="s">
        <v>645</v>
      </c>
      <c r="B171">
        <v>225</v>
      </c>
      <c r="C171" t="s">
        <v>646</v>
      </c>
      <c r="D171" t="s">
        <v>647</v>
      </c>
      <c r="F171" t="str">
        <f t="shared" si="3"/>
        <v>225-PFD-001 (PROCESS FLOW DIAGRAM)</v>
      </c>
    </row>
    <row r="172" spans="1:6" hidden="1" x14ac:dyDescent="0.35">
      <c r="A172" t="s">
        <v>645</v>
      </c>
      <c r="B172">
        <v>225</v>
      </c>
      <c r="C172" t="s">
        <v>646</v>
      </c>
      <c r="D172" t="s">
        <v>647</v>
      </c>
      <c r="F172" t="str">
        <f t="shared" si="3"/>
        <v>225-PFD-001 (PROCESS FLOW DIAGRAM)</v>
      </c>
    </row>
    <row r="173" spans="1:6" hidden="1" x14ac:dyDescent="0.35">
      <c r="A173" t="s">
        <v>648</v>
      </c>
      <c r="B173">
        <v>225</v>
      </c>
      <c r="C173" t="s">
        <v>649</v>
      </c>
      <c r="D173" t="s">
        <v>650</v>
      </c>
      <c r="E173" t="s">
        <v>651</v>
      </c>
      <c r="F173" t="str">
        <f t="shared" si="3"/>
        <v>225-PHL-001 (PHILOSOPHY)</v>
      </c>
    </row>
    <row r="174" spans="1:6" hidden="1" x14ac:dyDescent="0.35">
      <c r="A174" t="s">
        <v>648</v>
      </c>
      <c r="B174">
        <v>225</v>
      </c>
      <c r="C174" t="s">
        <v>649</v>
      </c>
      <c r="D174" t="s">
        <v>650</v>
      </c>
      <c r="E174" t="s">
        <v>651</v>
      </c>
      <c r="F174" t="str">
        <f t="shared" si="3"/>
        <v>225-PHL-001 (PHILOSOPHY)</v>
      </c>
    </row>
    <row r="175" spans="1:6" hidden="1" x14ac:dyDescent="0.35">
      <c r="A175" t="s">
        <v>652</v>
      </c>
      <c r="B175">
        <v>225</v>
      </c>
      <c r="C175" t="s">
        <v>653</v>
      </c>
      <c r="D175" t="s">
        <v>654</v>
      </c>
      <c r="F175" t="str">
        <f t="shared" si="3"/>
        <v>225-PID-001 (PIPING AND INSTRUMENTATION DIAGRAM)</v>
      </c>
    </row>
    <row r="176" spans="1:6" hidden="1" x14ac:dyDescent="0.35">
      <c r="A176" t="s">
        <v>652</v>
      </c>
      <c r="B176">
        <v>225</v>
      </c>
      <c r="C176" t="s">
        <v>653</v>
      </c>
      <c r="D176" t="s">
        <v>654</v>
      </c>
      <c r="F176" t="str">
        <f t="shared" si="3"/>
        <v>225-PID-001 (PIPING AND INSTRUMENTATION DIAGRAM)</v>
      </c>
    </row>
    <row r="177" spans="1:6" hidden="1" x14ac:dyDescent="0.35">
      <c r="A177" t="s">
        <v>655</v>
      </c>
      <c r="B177">
        <v>225</v>
      </c>
      <c r="C177" t="s">
        <v>490</v>
      </c>
      <c r="D177" t="s">
        <v>491</v>
      </c>
      <c r="E177" t="s">
        <v>656</v>
      </c>
      <c r="F177" t="str">
        <f t="shared" si="3"/>
        <v>225-RPT-001 (REPORT)</v>
      </c>
    </row>
    <row r="178" spans="1:6" hidden="1" x14ac:dyDescent="0.35">
      <c r="A178" t="s">
        <v>655</v>
      </c>
      <c r="B178">
        <v>225</v>
      </c>
      <c r="C178" t="s">
        <v>490</v>
      </c>
      <c r="D178" t="s">
        <v>491</v>
      </c>
      <c r="E178" t="s">
        <v>656</v>
      </c>
      <c r="F178" t="str">
        <f t="shared" si="3"/>
        <v>225-RPT-001 (REPORT)</v>
      </c>
    </row>
    <row r="179" spans="1:6" hidden="1" x14ac:dyDescent="0.35">
      <c r="A179" t="s">
        <v>657</v>
      </c>
      <c r="B179">
        <v>225</v>
      </c>
      <c r="C179" t="s">
        <v>658</v>
      </c>
      <c r="D179" t="s">
        <v>659</v>
      </c>
      <c r="E179" t="s">
        <v>660</v>
      </c>
      <c r="F179" t="str">
        <f t="shared" si="3"/>
        <v>225-SUM-001 (SUMMARY)</v>
      </c>
    </row>
    <row r="180" spans="1:6" hidden="1" x14ac:dyDescent="0.35">
      <c r="A180" t="s">
        <v>657</v>
      </c>
      <c r="B180">
        <v>225</v>
      </c>
      <c r="C180" t="s">
        <v>658</v>
      </c>
      <c r="D180" t="s">
        <v>659</v>
      </c>
      <c r="E180" t="s">
        <v>660</v>
      </c>
      <c r="F180" t="str">
        <f t="shared" si="3"/>
        <v>225-SUM-001 (SUMMARY)</v>
      </c>
    </row>
    <row r="181" spans="1:6" hidden="1" x14ac:dyDescent="0.35">
      <c r="A181" t="s">
        <v>661</v>
      </c>
      <c r="B181">
        <v>250</v>
      </c>
      <c r="C181" t="s">
        <v>539</v>
      </c>
      <c r="D181" t="s">
        <v>540</v>
      </c>
      <c r="E181" t="s">
        <v>662</v>
      </c>
      <c r="F181" t="str">
        <f t="shared" si="3"/>
        <v>250-PLN-001 (PLAN)</v>
      </c>
    </row>
    <row r="182" spans="1:6" hidden="1" x14ac:dyDescent="0.35">
      <c r="A182" t="s">
        <v>663</v>
      </c>
      <c r="B182">
        <v>250</v>
      </c>
      <c r="C182" t="s">
        <v>664</v>
      </c>
      <c r="D182" t="s">
        <v>665</v>
      </c>
      <c r="E182" t="s">
        <v>666</v>
      </c>
      <c r="F182" t="str">
        <f t="shared" si="3"/>
        <v>250-PPL-001 (PLOT PLANS)</v>
      </c>
    </row>
    <row r="183" spans="1:6" hidden="1" x14ac:dyDescent="0.35">
      <c r="A183" t="s">
        <v>667</v>
      </c>
      <c r="B183">
        <v>250</v>
      </c>
      <c r="C183" t="s">
        <v>543</v>
      </c>
      <c r="D183" t="s">
        <v>544</v>
      </c>
      <c r="E183" t="s">
        <v>545</v>
      </c>
      <c r="F183" t="str">
        <f t="shared" si="3"/>
        <v>250-PRO-001 (PROCUREMENT)</v>
      </c>
    </row>
    <row r="184" spans="1:6" hidden="1" x14ac:dyDescent="0.35">
      <c r="A184" t="s">
        <v>668</v>
      </c>
      <c r="B184">
        <v>250</v>
      </c>
      <c r="C184" t="s">
        <v>549</v>
      </c>
      <c r="D184" t="s">
        <v>550</v>
      </c>
      <c r="E184" t="s">
        <v>669</v>
      </c>
      <c r="F184" t="str">
        <f t="shared" si="3"/>
        <v>250-SKT-001 (SKETCH)</v>
      </c>
    </row>
    <row r="185" spans="1:6" hidden="1" x14ac:dyDescent="0.35">
      <c r="A185" t="s">
        <v>670</v>
      </c>
      <c r="B185">
        <v>250</v>
      </c>
      <c r="C185" t="s">
        <v>552</v>
      </c>
      <c r="D185" t="s">
        <v>553</v>
      </c>
      <c r="E185" t="s">
        <v>671</v>
      </c>
      <c r="F185" t="str">
        <f t="shared" si="3"/>
        <v>250-SPC-001 (SPECIFICATION)</v>
      </c>
    </row>
    <row r="186" spans="1:6" hidden="1" x14ac:dyDescent="0.35">
      <c r="A186" t="s">
        <v>672</v>
      </c>
      <c r="B186">
        <v>250</v>
      </c>
      <c r="C186" t="s">
        <v>556</v>
      </c>
      <c r="D186" t="s">
        <v>557</v>
      </c>
      <c r="E186" t="s">
        <v>673</v>
      </c>
      <c r="F186" t="str">
        <f t="shared" si="3"/>
        <v>250-STD-001 (STANDARD)</v>
      </c>
    </row>
    <row r="187" spans="1:6" hidden="1" x14ac:dyDescent="0.35">
      <c r="A187" t="s">
        <v>674</v>
      </c>
      <c r="B187">
        <v>250</v>
      </c>
      <c r="C187" t="s">
        <v>675</v>
      </c>
      <c r="D187" t="s">
        <v>676</v>
      </c>
      <c r="F187" t="str">
        <f t="shared" si="3"/>
        <v>250-TIE-001 (TIE-IN)</v>
      </c>
    </row>
    <row r="188" spans="1:6" hidden="1" x14ac:dyDescent="0.35">
      <c r="A188" t="s">
        <v>677</v>
      </c>
      <c r="B188">
        <v>251</v>
      </c>
      <c r="C188" t="s">
        <v>501</v>
      </c>
      <c r="D188" t="s">
        <v>502</v>
      </c>
      <c r="E188" t="s">
        <v>678</v>
      </c>
      <c r="F188" t="str">
        <f t="shared" si="3"/>
        <v>251-CAL-001 (CALCULATION)</v>
      </c>
    </row>
    <row r="189" spans="1:6" hidden="1" x14ac:dyDescent="0.35">
      <c r="A189" t="s">
        <v>679</v>
      </c>
      <c r="B189">
        <v>251</v>
      </c>
      <c r="C189" t="s">
        <v>512</v>
      </c>
      <c r="D189" t="s">
        <v>513</v>
      </c>
      <c r="E189" t="s">
        <v>680</v>
      </c>
      <c r="F189" t="str">
        <f t="shared" si="3"/>
        <v>251-DBD-001 (DESIGN BASIS AND CRITERIA)</v>
      </c>
    </row>
    <row r="190" spans="1:6" hidden="1" x14ac:dyDescent="0.35">
      <c r="A190" t="s">
        <v>681</v>
      </c>
      <c r="B190">
        <v>251</v>
      </c>
      <c r="C190" t="s">
        <v>682</v>
      </c>
      <c r="D190" t="s">
        <v>683</v>
      </c>
      <c r="E190" t="s">
        <v>684</v>
      </c>
      <c r="F190" t="str">
        <f t="shared" si="3"/>
        <v>251-DST-001 (DATASHEET)</v>
      </c>
    </row>
    <row r="191" spans="1:6" hidden="1" x14ac:dyDescent="0.35">
      <c r="A191" t="s">
        <v>685</v>
      </c>
      <c r="B191">
        <v>251</v>
      </c>
      <c r="C191" t="s">
        <v>525</v>
      </c>
      <c r="D191" t="s">
        <v>526</v>
      </c>
      <c r="E191" t="s">
        <v>686</v>
      </c>
      <c r="F191" t="str">
        <f t="shared" si="3"/>
        <v>251-DTL-001 (DETAILS)</v>
      </c>
    </row>
    <row r="192" spans="1:6" hidden="1" x14ac:dyDescent="0.35">
      <c r="A192" t="s">
        <v>687</v>
      </c>
      <c r="B192">
        <v>251</v>
      </c>
      <c r="C192" t="s">
        <v>484</v>
      </c>
      <c r="D192" t="s">
        <v>485</v>
      </c>
      <c r="E192" t="s">
        <v>688</v>
      </c>
      <c r="F192" t="str">
        <f t="shared" si="3"/>
        <v>251-LST-001 (LIST)</v>
      </c>
    </row>
    <row r="193" spans="1:6" hidden="1" x14ac:dyDescent="0.35">
      <c r="A193" t="s">
        <v>689</v>
      </c>
      <c r="B193">
        <v>251</v>
      </c>
      <c r="C193" t="s">
        <v>552</v>
      </c>
      <c r="D193" t="s">
        <v>553</v>
      </c>
      <c r="E193" t="s">
        <v>690</v>
      </c>
      <c r="F193" t="str">
        <f t="shared" si="3"/>
        <v>251-SPC-001 (SPECIFICATION)</v>
      </c>
    </row>
    <row r="194" spans="1:6" hidden="1" x14ac:dyDescent="0.35">
      <c r="A194" t="s">
        <v>691</v>
      </c>
      <c r="B194">
        <v>251</v>
      </c>
      <c r="C194" t="s">
        <v>556</v>
      </c>
      <c r="D194" t="s">
        <v>557</v>
      </c>
      <c r="E194" t="s">
        <v>692</v>
      </c>
      <c r="F194" t="str">
        <f t="shared" si="3"/>
        <v>251-STD-001 (STANDARD)</v>
      </c>
    </row>
    <row r="195" spans="1:6" hidden="1" x14ac:dyDescent="0.35">
      <c r="A195" t="s">
        <v>693</v>
      </c>
      <c r="B195">
        <v>252</v>
      </c>
      <c r="C195" t="s">
        <v>501</v>
      </c>
      <c r="D195" t="s">
        <v>502</v>
      </c>
      <c r="E195" t="s">
        <v>694</v>
      </c>
      <c r="F195" t="str">
        <f t="shared" si="3"/>
        <v>252-CAL-001 (CALCULATION)</v>
      </c>
    </row>
    <row r="196" spans="1:6" hidden="1" x14ac:dyDescent="0.35">
      <c r="A196" t="s">
        <v>695</v>
      </c>
      <c r="B196">
        <v>252</v>
      </c>
      <c r="C196" t="s">
        <v>682</v>
      </c>
      <c r="D196" t="s">
        <v>683</v>
      </c>
      <c r="E196" t="s">
        <v>696</v>
      </c>
      <c r="F196" t="str">
        <f t="shared" si="3"/>
        <v>252-DST-001 (DATASHEET)</v>
      </c>
    </row>
    <row r="197" spans="1:6" hidden="1" x14ac:dyDescent="0.35">
      <c r="A197" t="s">
        <v>697</v>
      </c>
      <c r="B197">
        <v>252</v>
      </c>
      <c r="C197" t="s">
        <v>525</v>
      </c>
      <c r="D197" t="s">
        <v>526</v>
      </c>
      <c r="E197" t="s">
        <v>698</v>
      </c>
      <c r="F197" t="str">
        <f t="shared" si="3"/>
        <v>252-DTL-001 (DETAILS)</v>
      </c>
    </row>
    <row r="198" spans="1:6" hidden="1" x14ac:dyDescent="0.35">
      <c r="A198" t="s">
        <v>699</v>
      </c>
      <c r="B198">
        <v>252</v>
      </c>
      <c r="C198" t="s">
        <v>484</v>
      </c>
      <c r="D198" t="s">
        <v>485</v>
      </c>
      <c r="E198" t="s">
        <v>700</v>
      </c>
      <c r="F198" t="str">
        <f t="shared" si="3"/>
        <v>252-LST-001 (LIST)</v>
      </c>
    </row>
    <row r="199" spans="1:6" hidden="1" x14ac:dyDescent="0.35">
      <c r="A199" t="s">
        <v>701</v>
      </c>
      <c r="B199">
        <v>252</v>
      </c>
      <c r="C199" t="s">
        <v>552</v>
      </c>
      <c r="D199" t="s">
        <v>553</v>
      </c>
      <c r="E199" t="s">
        <v>702</v>
      </c>
      <c r="F199" t="str">
        <f t="shared" si="3"/>
        <v>252-SPC-001 (SPECIFICATION)</v>
      </c>
    </row>
    <row r="200" spans="1:6" hidden="1" x14ac:dyDescent="0.35">
      <c r="A200" t="s">
        <v>703</v>
      </c>
      <c r="B200">
        <v>252</v>
      </c>
      <c r="C200" t="s">
        <v>556</v>
      </c>
      <c r="D200" t="s">
        <v>557</v>
      </c>
      <c r="F200" t="str">
        <f t="shared" si="3"/>
        <v>252-STD-001 (STANDARD)</v>
      </c>
    </row>
    <row r="201" spans="1:6" hidden="1" x14ac:dyDescent="0.35">
      <c r="A201" t="s">
        <v>704</v>
      </c>
      <c r="B201">
        <v>255</v>
      </c>
      <c r="C201" t="s">
        <v>497</v>
      </c>
      <c r="D201" t="s">
        <v>498</v>
      </c>
      <c r="E201" t="s">
        <v>499</v>
      </c>
      <c r="F201" t="str">
        <f t="shared" si="3"/>
        <v>255-AUT-001 (AUTHORITY)</v>
      </c>
    </row>
    <row r="202" spans="1:6" hidden="1" x14ac:dyDescent="0.35">
      <c r="A202" t="s">
        <v>705</v>
      </c>
      <c r="B202">
        <v>255</v>
      </c>
      <c r="C202" t="s">
        <v>501</v>
      </c>
      <c r="D202" t="s">
        <v>502</v>
      </c>
      <c r="E202" t="s">
        <v>706</v>
      </c>
      <c r="F202" t="str">
        <f t="shared" si="3"/>
        <v>255-CAL-001 (CALCULATION)</v>
      </c>
    </row>
    <row r="203" spans="1:6" hidden="1" x14ac:dyDescent="0.35">
      <c r="A203" t="s">
        <v>707</v>
      </c>
      <c r="B203">
        <v>255</v>
      </c>
      <c r="C203" t="s">
        <v>505</v>
      </c>
      <c r="D203" t="s">
        <v>506</v>
      </c>
      <c r="E203" t="s">
        <v>507</v>
      </c>
      <c r="F203" t="str">
        <f t="shared" ref="F203:F266" si="4">_xlfn.CONCAT(A203, " (", D203, ")")</f>
        <v>255-CON-001 (CONTRACT)</v>
      </c>
    </row>
    <row r="204" spans="1:6" hidden="1" x14ac:dyDescent="0.35">
      <c r="A204" t="s">
        <v>708</v>
      </c>
      <c r="B204">
        <v>255</v>
      </c>
      <c r="C204" t="s">
        <v>509</v>
      </c>
      <c r="D204" t="s">
        <v>510</v>
      </c>
      <c r="F204" t="str">
        <f t="shared" si="4"/>
        <v>255-CWP-001 (CONSTRUCTION WORK PACKAGE)</v>
      </c>
    </row>
    <row r="205" spans="1:6" hidden="1" x14ac:dyDescent="0.35">
      <c r="A205" t="s">
        <v>709</v>
      </c>
      <c r="B205">
        <v>255</v>
      </c>
      <c r="C205" t="s">
        <v>512</v>
      </c>
      <c r="D205" t="s">
        <v>513</v>
      </c>
      <c r="E205" t="s">
        <v>710</v>
      </c>
      <c r="F205" t="str">
        <f t="shared" si="4"/>
        <v>255-DBD-001 (DESIGN BASIS AND CRITERIA)</v>
      </c>
    </row>
    <row r="206" spans="1:6" hidden="1" x14ac:dyDescent="0.35">
      <c r="A206" t="s">
        <v>711</v>
      </c>
      <c r="B206">
        <v>255</v>
      </c>
      <c r="C206" t="s">
        <v>469</v>
      </c>
      <c r="D206" t="s">
        <v>470</v>
      </c>
      <c r="F206" t="str">
        <f t="shared" si="4"/>
        <v>255-DBK-001 (PROJECT DATA BOOK)</v>
      </c>
    </row>
    <row r="207" spans="1:6" hidden="1" x14ac:dyDescent="0.35">
      <c r="A207" t="s">
        <v>712</v>
      </c>
      <c r="B207">
        <v>255</v>
      </c>
      <c r="C207" t="s">
        <v>517</v>
      </c>
      <c r="D207" t="s">
        <v>518</v>
      </c>
      <c r="E207" t="s">
        <v>713</v>
      </c>
      <c r="F207" t="str">
        <f t="shared" si="4"/>
        <v>255-DEM-001 (DEMOLITION)</v>
      </c>
    </row>
    <row r="208" spans="1:6" hidden="1" x14ac:dyDescent="0.35">
      <c r="A208" t="s">
        <v>714</v>
      </c>
      <c r="B208">
        <v>255</v>
      </c>
      <c r="C208" t="s">
        <v>682</v>
      </c>
      <c r="D208" t="s">
        <v>683</v>
      </c>
      <c r="E208" t="s">
        <v>715</v>
      </c>
      <c r="F208" t="str">
        <f t="shared" si="4"/>
        <v>255-DST-001 (DATASHEET)</v>
      </c>
    </row>
    <row r="209" spans="1:6" hidden="1" x14ac:dyDescent="0.35">
      <c r="A209" t="s">
        <v>716</v>
      </c>
      <c r="B209">
        <v>255</v>
      </c>
      <c r="C209" t="s">
        <v>525</v>
      </c>
      <c r="D209" t="s">
        <v>526</v>
      </c>
      <c r="E209" t="s">
        <v>717</v>
      </c>
      <c r="F209" t="str">
        <f t="shared" si="4"/>
        <v>255-DTL-001 (DETAILS)</v>
      </c>
    </row>
    <row r="210" spans="1:6" hidden="1" x14ac:dyDescent="0.35">
      <c r="A210" t="s">
        <v>718</v>
      </c>
      <c r="B210">
        <v>255</v>
      </c>
      <c r="C210" t="s">
        <v>719</v>
      </c>
      <c r="D210" t="s">
        <v>720</v>
      </c>
      <c r="E210" t="s">
        <v>721</v>
      </c>
      <c r="F210" t="str">
        <f t="shared" si="4"/>
        <v>255-LAY-001 (LAYOUT)</v>
      </c>
    </row>
    <row r="211" spans="1:6" hidden="1" x14ac:dyDescent="0.35">
      <c r="A211" t="s">
        <v>722</v>
      </c>
      <c r="B211">
        <v>255</v>
      </c>
      <c r="C211" t="s">
        <v>484</v>
      </c>
      <c r="D211" t="s">
        <v>485</v>
      </c>
      <c r="E211" t="s">
        <v>723</v>
      </c>
      <c r="F211" t="str">
        <f t="shared" si="4"/>
        <v>255-LST-001 (LIST)</v>
      </c>
    </row>
    <row r="212" spans="1:6" hidden="1" x14ac:dyDescent="0.35">
      <c r="A212" t="s">
        <v>724</v>
      </c>
      <c r="B212">
        <v>255</v>
      </c>
      <c r="C212" t="s">
        <v>725</v>
      </c>
      <c r="D212" t="s">
        <v>726</v>
      </c>
      <c r="F212" t="str">
        <f t="shared" si="4"/>
        <v>255-MSD-001 (MATERIAL SELECTION DIAGRAM)</v>
      </c>
    </row>
    <row r="213" spans="1:6" hidden="1" x14ac:dyDescent="0.35">
      <c r="A213" t="s">
        <v>727</v>
      </c>
      <c r="B213">
        <v>255</v>
      </c>
      <c r="C213" t="s">
        <v>535</v>
      </c>
      <c r="D213" t="s">
        <v>536</v>
      </c>
      <c r="E213" t="s">
        <v>537</v>
      </c>
      <c r="F213" t="str">
        <f t="shared" si="4"/>
        <v>255-MTO-001 (MATERIAL TAKE OFF)</v>
      </c>
    </row>
    <row r="214" spans="1:6" hidden="1" x14ac:dyDescent="0.35">
      <c r="A214" t="s">
        <v>728</v>
      </c>
      <c r="B214">
        <v>255</v>
      </c>
      <c r="C214" t="s">
        <v>646</v>
      </c>
      <c r="D214" t="s">
        <v>647</v>
      </c>
      <c r="E214" t="s">
        <v>729</v>
      </c>
      <c r="F214" t="str">
        <f t="shared" si="4"/>
        <v>255-PFD-001 (PROCESS FLOW DIAGRAM)</v>
      </c>
    </row>
    <row r="215" spans="1:6" hidden="1" x14ac:dyDescent="0.35">
      <c r="A215" t="s">
        <v>730</v>
      </c>
      <c r="B215">
        <v>255</v>
      </c>
      <c r="C215" t="s">
        <v>543</v>
      </c>
      <c r="D215" t="s">
        <v>544</v>
      </c>
      <c r="E215" t="s">
        <v>545</v>
      </c>
      <c r="F215" t="str">
        <f t="shared" si="4"/>
        <v>255-PRO-001 (PROCUREMENT)</v>
      </c>
    </row>
    <row r="216" spans="1:6" hidden="1" x14ac:dyDescent="0.35">
      <c r="A216" t="s">
        <v>731</v>
      </c>
      <c r="B216">
        <v>255</v>
      </c>
      <c r="C216" t="s">
        <v>490</v>
      </c>
      <c r="D216" t="s">
        <v>491</v>
      </c>
      <c r="E216" t="s">
        <v>732</v>
      </c>
      <c r="F216" t="str">
        <f t="shared" si="4"/>
        <v>255-RPT-001 (REPORT)</v>
      </c>
    </row>
    <row r="217" spans="1:6" hidden="1" x14ac:dyDescent="0.35">
      <c r="A217" t="s">
        <v>733</v>
      </c>
      <c r="B217">
        <v>255</v>
      </c>
      <c r="C217" t="s">
        <v>549</v>
      </c>
      <c r="D217" t="s">
        <v>550</v>
      </c>
      <c r="E217" t="s">
        <v>734</v>
      </c>
      <c r="F217" t="str">
        <f t="shared" si="4"/>
        <v>255-SKT-001 (SKETCH)</v>
      </c>
    </row>
    <row r="218" spans="1:6" hidden="1" x14ac:dyDescent="0.35">
      <c r="A218" t="s">
        <v>735</v>
      </c>
      <c r="B218">
        <v>255</v>
      </c>
      <c r="C218" t="s">
        <v>552</v>
      </c>
      <c r="D218" t="s">
        <v>553</v>
      </c>
      <c r="E218" t="s">
        <v>756</v>
      </c>
      <c r="F218" t="str">
        <f t="shared" si="4"/>
        <v>255-SPC-001 (SPECIFICATION)</v>
      </c>
    </row>
    <row r="219" spans="1:6" hidden="1" x14ac:dyDescent="0.35">
      <c r="A219" t="s">
        <v>736</v>
      </c>
      <c r="B219">
        <v>255</v>
      </c>
      <c r="C219" t="s">
        <v>556</v>
      </c>
      <c r="D219" t="s">
        <v>557</v>
      </c>
      <c r="E219" t="s">
        <v>757</v>
      </c>
      <c r="F219" t="str">
        <f t="shared" si="4"/>
        <v>255-STD-001 (STANDARD)</v>
      </c>
    </row>
    <row r="220" spans="1:6" hidden="1" x14ac:dyDescent="0.35">
      <c r="A220" t="s">
        <v>737</v>
      </c>
      <c r="B220">
        <v>265</v>
      </c>
      <c r="C220" t="s">
        <v>497</v>
      </c>
      <c r="D220" t="s">
        <v>498</v>
      </c>
      <c r="E220" t="s">
        <v>758</v>
      </c>
      <c r="F220" t="str">
        <f t="shared" si="4"/>
        <v>265-AUT-001 (AUTHORITY)</v>
      </c>
    </row>
    <row r="221" spans="1:6" hidden="1" x14ac:dyDescent="0.35">
      <c r="A221" t="s">
        <v>738</v>
      </c>
      <c r="B221">
        <v>265</v>
      </c>
      <c r="C221" t="s">
        <v>501</v>
      </c>
      <c r="D221" t="s">
        <v>502</v>
      </c>
      <c r="E221" t="s">
        <v>759</v>
      </c>
      <c r="F221" t="str">
        <f t="shared" si="4"/>
        <v>265-CAL-001 (CALCULATION)</v>
      </c>
    </row>
    <row r="222" spans="1:6" hidden="1" x14ac:dyDescent="0.35">
      <c r="A222" t="s">
        <v>739</v>
      </c>
      <c r="B222">
        <v>265</v>
      </c>
      <c r="C222" t="s">
        <v>505</v>
      </c>
      <c r="D222" t="s">
        <v>506</v>
      </c>
      <c r="E222" t="s">
        <v>507</v>
      </c>
      <c r="F222" t="str">
        <f t="shared" si="4"/>
        <v>265-CON-001 (CONTRACT)</v>
      </c>
    </row>
    <row r="223" spans="1:6" hidden="1" x14ac:dyDescent="0.35">
      <c r="A223" t="s">
        <v>740</v>
      </c>
      <c r="B223">
        <v>265</v>
      </c>
      <c r="C223" t="s">
        <v>750</v>
      </c>
      <c r="D223" t="s">
        <v>753</v>
      </c>
      <c r="E223" t="s">
        <v>760</v>
      </c>
      <c r="F223" t="str">
        <f t="shared" si="4"/>
        <v>265-CPR-001 (CONSTRUCTION POWER)</v>
      </c>
    </row>
    <row r="224" spans="1:6" hidden="1" x14ac:dyDescent="0.35">
      <c r="A224" t="s">
        <v>741</v>
      </c>
      <c r="B224">
        <v>265</v>
      </c>
      <c r="C224" t="s">
        <v>509</v>
      </c>
      <c r="D224" t="s">
        <v>510</v>
      </c>
      <c r="E224" t="s">
        <v>761</v>
      </c>
      <c r="F224" t="str">
        <f t="shared" si="4"/>
        <v>265-CWP-001 (CONSTRUCTION WORK PACKAGE)</v>
      </c>
    </row>
    <row r="225" spans="1:6" hidden="1" x14ac:dyDescent="0.35">
      <c r="A225" t="s">
        <v>742</v>
      </c>
      <c r="B225">
        <v>265</v>
      </c>
      <c r="C225" t="s">
        <v>512</v>
      </c>
      <c r="D225" t="s">
        <v>513</v>
      </c>
      <c r="E225" t="s">
        <v>762</v>
      </c>
      <c r="F225" t="str">
        <f t="shared" si="4"/>
        <v>265-DBD-001 (DESIGN BASIS AND CRITERIA)</v>
      </c>
    </row>
    <row r="226" spans="1:6" hidden="1" x14ac:dyDescent="0.35">
      <c r="A226" t="s">
        <v>743</v>
      </c>
      <c r="B226">
        <v>265</v>
      </c>
      <c r="C226" t="s">
        <v>469</v>
      </c>
      <c r="D226" t="s">
        <v>470</v>
      </c>
      <c r="F226" t="str">
        <f t="shared" si="4"/>
        <v>265-DBK-001 (PROJECT DATA BOOK)</v>
      </c>
    </row>
    <row r="227" spans="1:6" hidden="1" x14ac:dyDescent="0.35">
      <c r="A227" t="s">
        <v>744</v>
      </c>
      <c r="B227">
        <v>265</v>
      </c>
      <c r="C227" t="s">
        <v>517</v>
      </c>
      <c r="D227" t="s">
        <v>518</v>
      </c>
      <c r="E227" t="s">
        <v>763</v>
      </c>
      <c r="F227" t="str">
        <f t="shared" si="4"/>
        <v>265-DEM-001 (DEMOLITION)</v>
      </c>
    </row>
    <row r="228" spans="1:6" hidden="1" x14ac:dyDescent="0.35">
      <c r="A228" t="s">
        <v>745</v>
      </c>
      <c r="B228">
        <v>265</v>
      </c>
      <c r="C228" t="s">
        <v>521</v>
      </c>
      <c r="D228" t="s">
        <v>522</v>
      </c>
      <c r="E228" t="s">
        <v>764</v>
      </c>
      <c r="F228" t="str">
        <f t="shared" si="4"/>
        <v>265-DIA-001 (DIAGRAM)</v>
      </c>
    </row>
    <row r="229" spans="1:6" hidden="1" x14ac:dyDescent="0.35">
      <c r="A229" t="s">
        <v>746</v>
      </c>
      <c r="B229">
        <v>265</v>
      </c>
      <c r="C229" t="s">
        <v>682</v>
      </c>
      <c r="D229" t="s">
        <v>683</v>
      </c>
      <c r="E229" t="s">
        <v>765</v>
      </c>
      <c r="F229" t="str">
        <f t="shared" si="4"/>
        <v>265-DST-001 (DATASHEET)</v>
      </c>
    </row>
    <row r="230" spans="1:6" hidden="1" x14ac:dyDescent="0.35">
      <c r="A230" t="s">
        <v>747</v>
      </c>
      <c r="B230">
        <v>265</v>
      </c>
      <c r="C230" t="s">
        <v>525</v>
      </c>
      <c r="D230" t="s">
        <v>526</v>
      </c>
      <c r="E230" t="s">
        <v>766</v>
      </c>
      <c r="F230" t="str">
        <f t="shared" si="4"/>
        <v>265-DTL-001 (DETAILS)</v>
      </c>
    </row>
    <row r="231" spans="1:6" hidden="1" x14ac:dyDescent="0.35">
      <c r="A231" t="s">
        <v>748</v>
      </c>
      <c r="B231">
        <v>265</v>
      </c>
      <c r="C231" t="s">
        <v>751</v>
      </c>
      <c r="D231" t="s">
        <v>754</v>
      </c>
      <c r="E231" t="s">
        <v>767</v>
      </c>
      <c r="F231" t="str">
        <f t="shared" si="4"/>
        <v>265-HAC-001 (HAZARDOUS AREA CLASSIFICATION)</v>
      </c>
    </row>
    <row r="232" spans="1:6" hidden="1" x14ac:dyDescent="0.35">
      <c r="A232" t="s">
        <v>749</v>
      </c>
      <c r="B232">
        <v>265</v>
      </c>
      <c r="C232" t="s">
        <v>752</v>
      </c>
      <c r="D232" t="s">
        <v>755</v>
      </c>
      <c r="E232" t="s">
        <v>768</v>
      </c>
      <c r="F232" t="str">
        <f t="shared" si="4"/>
        <v>265-HTX-001 (ELECTRICAL HEAT TRACING)</v>
      </c>
    </row>
    <row r="233" spans="1:6" hidden="1" x14ac:dyDescent="0.35">
      <c r="A233" t="s">
        <v>769</v>
      </c>
      <c r="B233">
        <v>265</v>
      </c>
      <c r="C233" t="s">
        <v>719</v>
      </c>
      <c r="D233" t="s">
        <v>720</v>
      </c>
      <c r="E233" t="s">
        <v>770</v>
      </c>
      <c r="F233" t="str">
        <f t="shared" si="4"/>
        <v>265-LAY-001 (LAYOUT)</v>
      </c>
    </row>
    <row r="234" spans="1:6" hidden="1" x14ac:dyDescent="0.35">
      <c r="A234" t="s">
        <v>771</v>
      </c>
      <c r="B234">
        <v>265</v>
      </c>
      <c r="C234" t="s">
        <v>484</v>
      </c>
      <c r="D234" t="s">
        <v>772</v>
      </c>
      <c r="E234" t="s">
        <v>773</v>
      </c>
      <c r="F234" t="str">
        <f t="shared" si="4"/>
        <v>265-LST-001 (LISTS)</v>
      </c>
    </row>
    <row r="235" spans="1:6" hidden="1" x14ac:dyDescent="0.35">
      <c r="A235" t="s">
        <v>774</v>
      </c>
      <c r="B235">
        <v>265</v>
      </c>
      <c r="C235" t="s">
        <v>535</v>
      </c>
      <c r="D235" t="s">
        <v>536</v>
      </c>
      <c r="E235" t="s">
        <v>537</v>
      </c>
      <c r="F235" t="str">
        <f t="shared" si="4"/>
        <v>265-MTO-001 (MATERIAL TAKE OFF)</v>
      </c>
    </row>
    <row r="236" spans="1:6" hidden="1" x14ac:dyDescent="0.35">
      <c r="A236" t="s">
        <v>775</v>
      </c>
      <c r="B236">
        <v>265</v>
      </c>
      <c r="C236" t="s">
        <v>776</v>
      </c>
      <c r="D236" t="s">
        <v>777</v>
      </c>
      <c r="E236" t="s">
        <v>778</v>
      </c>
      <c r="F236" t="str">
        <f t="shared" si="4"/>
        <v>265-PRC-001 (PROCEDURE)</v>
      </c>
    </row>
    <row r="237" spans="1:6" hidden="1" x14ac:dyDescent="0.35">
      <c r="A237" t="s">
        <v>779</v>
      </c>
      <c r="B237">
        <v>265</v>
      </c>
      <c r="C237" t="s">
        <v>543</v>
      </c>
      <c r="D237" t="s">
        <v>544</v>
      </c>
      <c r="E237" t="s">
        <v>545</v>
      </c>
      <c r="F237" t="str">
        <f t="shared" si="4"/>
        <v>265-PRO-001 (PROCUREMENT)</v>
      </c>
    </row>
    <row r="238" spans="1:6" hidden="1" x14ac:dyDescent="0.35">
      <c r="A238" t="s">
        <v>780</v>
      </c>
      <c r="B238">
        <v>265</v>
      </c>
      <c r="C238" t="s">
        <v>490</v>
      </c>
      <c r="D238" t="s">
        <v>491</v>
      </c>
      <c r="E238" t="s">
        <v>781</v>
      </c>
      <c r="F238" t="str">
        <f t="shared" si="4"/>
        <v>265-RPT-001 (REPORT)</v>
      </c>
    </row>
    <row r="239" spans="1:6" hidden="1" x14ac:dyDescent="0.35">
      <c r="A239" t="s">
        <v>782</v>
      </c>
      <c r="B239">
        <v>265</v>
      </c>
      <c r="C239" t="s">
        <v>549</v>
      </c>
      <c r="D239" t="s">
        <v>550</v>
      </c>
      <c r="F239" t="str">
        <f t="shared" si="4"/>
        <v>265-SKT-001 (SKETCH)</v>
      </c>
    </row>
    <row r="240" spans="1:6" hidden="1" x14ac:dyDescent="0.35">
      <c r="A240" t="s">
        <v>783</v>
      </c>
      <c r="B240">
        <v>265</v>
      </c>
      <c r="C240" t="s">
        <v>784</v>
      </c>
      <c r="D240" t="s">
        <v>785</v>
      </c>
      <c r="E240" t="s">
        <v>786</v>
      </c>
      <c r="F240" t="str">
        <f t="shared" si="4"/>
        <v>265-SLD-001 (SINGLE LINE DIAGRAM)</v>
      </c>
    </row>
    <row r="241" spans="1:6" hidden="1" x14ac:dyDescent="0.35">
      <c r="A241" t="s">
        <v>787</v>
      </c>
      <c r="B241">
        <v>265</v>
      </c>
      <c r="C241" t="s">
        <v>552</v>
      </c>
      <c r="D241" t="s">
        <v>553</v>
      </c>
      <c r="E241" t="s">
        <v>788</v>
      </c>
      <c r="F241" t="str">
        <f t="shared" si="4"/>
        <v>265-SPC-001 (SPECIFICATION)</v>
      </c>
    </row>
    <row r="242" spans="1:6" hidden="1" x14ac:dyDescent="0.35">
      <c r="A242" t="s">
        <v>789</v>
      </c>
      <c r="B242">
        <v>265</v>
      </c>
      <c r="C242" t="s">
        <v>556</v>
      </c>
      <c r="D242" t="s">
        <v>557</v>
      </c>
      <c r="E242" t="s">
        <v>790</v>
      </c>
      <c r="F242" t="str">
        <f t="shared" si="4"/>
        <v>265-STD-001 (STANDARD)</v>
      </c>
    </row>
    <row r="243" spans="1:6" hidden="1" x14ac:dyDescent="0.35">
      <c r="A243" t="s">
        <v>791</v>
      </c>
      <c r="B243">
        <v>270</v>
      </c>
      <c r="C243" t="s">
        <v>497</v>
      </c>
      <c r="D243" t="s">
        <v>498</v>
      </c>
      <c r="E243" t="s">
        <v>758</v>
      </c>
      <c r="F243" t="str">
        <f t="shared" si="4"/>
        <v>270-AUT-001 (AUTHORITY)</v>
      </c>
    </row>
    <row r="244" spans="1:6" hidden="1" x14ac:dyDescent="0.35">
      <c r="A244" t="s">
        <v>792</v>
      </c>
      <c r="B244">
        <v>270</v>
      </c>
      <c r="C244" t="s">
        <v>793</v>
      </c>
      <c r="D244" t="s">
        <v>794</v>
      </c>
      <c r="E244" t="s">
        <v>795</v>
      </c>
      <c r="F244" t="str">
        <f t="shared" si="4"/>
        <v>270-CAE-001 (CAUSE AND EFFECT DRAWING)</v>
      </c>
    </row>
    <row r="245" spans="1:6" hidden="1" x14ac:dyDescent="0.35">
      <c r="A245" t="s">
        <v>796</v>
      </c>
      <c r="B245">
        <v>270</v>
      </c>
      <c r="C245" t="s">
        <v>501</v>
      </c>
      <c r="D245" t="s">
        <v>502</v>
      </c>
      <c r="E245" t="s">
        <v>797</v>
      </c>
      <c r="F245" t="str">
        <f t="shared" si="4"/>
        <v>270-CAL-001 (CALCULATION)</v>
      </c>
    </row>
    <row r="246" spans="1:6" hidden="1" x14ac:dyDescent="0.35">
      <c r="A246" t="s">
        <v>798</v>
      </c>
      <c r="B246">
        <v>270</v>
      </c>
      <c r="C246" t="s">
        <v>505</v>
      </c>
      <c r="D246" t="s">
        <v>506</v>
      </c>
      <c r="E246" t="s">
        <v>507</v>
      </c>
      <c r="F246" t="str">
        <f t="shared" si="4"/>
        <v>270-CON-001 (CONTRACT)</v>
      </c>
    </row>
    <row r="247" spans="1:6" hidden="1" x14ac:dyDescent="0.35">
      <c r="A247" t="s">
        <v>799</v>
      </c>
      <c r="B247">
        <v>270</v>
      </c>
      <c r="C247" t="s">
        <v>509</v>
      </c>
      <c r="D247" t="s">
        <v>510</v>
      </c>
      <c r="E247" t="s">
        <v>800</v>
      </c>
      <c r="F247" t="str">
        <f t="shared" si="4"/>
        <v>270-CWP-001 (CONSTRUCTION WORK PACKAGE)</v>
      </c>
    </row>
    <row r="248" spans="1:6" hidden="1" x14ac:dyDescent="0.35">
      <c r="A248" t="s">
        <v>801</v>
      </c>
      <c r="B248">
        <v>270</v>
      </c>
      <c r="C248" t="s">
        <v>512</v>
      </c>
      <c r="D248" t="s">
        <v>513</v>
      </c>
      <c r="E248" t="s">
        <v>802</v>
      </c>
      <c r="F248" t="str">
        <f t="shared" si="4"/>
        <v>270-DBD-001 (DESIGN BASIS AND CRITERIA)</v>
      </c>
    </row>
    <row r="249" spans="1:6" hidden="1" x14ac:dyDescent="0.35">
      <c r="A249" t="s">
        <v>803</v>
      </c>
      <c r="B249">
        <v>270</v>
      </c>
      <c r="C249" t="s">
        <v>469</v>
      </c>
      <c r="D249" t="s">
        <v>470</v>
      </c>
      <c r="F249" t="str">
        <f t="shared" si="4"/>
        <v>270-DBK-001 (PROJECT DATA BOOK)</v>
      </c>
    </row>
    <row r="250" spans="1:6" hidden="1" x14ac:dyDescent="0.35">
      <c r="A250" t="s">
        <v>804</v>
      </c>
      <c r="B250">
        <v>270</v>
      </c>
      <c r="C250" t="s">
        <v>517</v>
      </c>
      <c r="D250" t="s">
        <v>518</v>
      </c>
      <c r="E250" t="s">
        <v>805</v>
      </c>
      <c r="F250" t="str">
        <f t="shared" si="4"/>
        <v>270-DEM-001 (DEMOLITION)</v>
      </c>
    </row>
    <row r="251" spans="1:6" hidden="1" x14ac:dyDescent="0.35">
      <c r="A251" t="s">
        <v>806</v>
      </c>
      <c r="B251">
        <v>270</v>
      </c>
      <c r="C251" t="s">
        <v>521</v>
      </c>
      <c r="D251" t="s">
        <v>522</v>
      </c>
      <c r="E251" t="s">
        <v>807</v>
      </c>
      <c r="F251" t="str">
        <f t="shared" si="4"/>
        <v>270-DIA-001 (DIAGRAM)</v>
      </c>
    </row>
    <row r="252" spans="1:6" hidden="1" x14ac:dyDescent="0.35">
      <c r="A252" t="s">
        <v>808</v>
      </c>
      <c r="B252">
        <v>270</v>
      </c>
      <c r="C252" t="s">
        <v>682</v>
      </c>
      <c r="D252" t="s">
        <v>683</v>
      </c>
      <c r="E252" t="s">
        <v>809</v>
      </c>
      <c r="F252" t="str">
        <f t="shared" si="4"/>
        <v>270-DST-001 (DATASHEET)</v>
      </c>
    </row>
    <row r="253" spans="1:6" hidden="1" x14ac:dyDescent="0.35">
      <c r="A253" t="s">
        <v>810</v>
      </c>
      <c r="B253">
        <v>270</v>
      </c>
      <c r="C253" t="s">
        <v>525</v>
      </c>
      <c r="D253" t="s">
        <v>526</v>
      </c>
      <c r="E253" t="s">
        <v>811</v>
      </c>
      <c r="F253" t="str">
        <f t="shared" si="4"/>
        <v>270-DTL-001 (DETAILS)</v>
      </c>
    </row>
    <row r="254" spans="1:6" hidden="1" x14ac:dyDescent="0.35">
      <c r="A254" t="s">
        <v>812</v>
      </c>
      <c r="B254">
        <v>270</v>
      </c>
      <c r="C254" t="s">
        <v>719</v>
      </c>
      <c r="D254" t="s">
        <v>720</v>
      </c>
      <c r="E254" t="s">
        <v>813</v>
      </c>
      <c r="F254" t="str">
        <f t="shared" si="4"/>
        <v>270-LAY-001 (LAYOUT)</v>
      </c>
    </row>
    <row r="255" spans="1:6" hidden="1" x14ac:dyDescent="0.35">
      <c r="A255" t="s">
        <v>814</v>
      </c>
      <c r="B255">
        <v>270</v>
      </c>
      <c r="C255" t="s">
        <v>484</v>
      </c>
      <c r="D255" t="s">
        <v>485</v>
      </c>
      <c r="E255" t="s">
        <v>815</v>
      </c>
      <c r="F255" t="str">
        <f t="shared" si="4"/>
        <v>270-LST-001 (LIST)</v>
      </c>
    </row>
    <row r="256" spans="1:6" hidden="1" x14ac:dyDescent="0.35">
      <c r="A256" t="s">
        <v>816</v>
      </c>
      <c r="B256">
        <v>270</v>
      </c>
      <c r="C256" t="s">
        <v>535</v>
      </c>
      <c r="D256" t="s">
        <v>536</v>
      </c>
      <c r="E256" t="s">
        <v>537</v>
      </c>
      <c r="F256" t="str">
        <f t="shared" si="4"/>
        <v>270-MTO-001 (MATERIAL TAKE OFF)</v>
      </c>
    </row>
    <row r="257" spans="1:6" hidden="1" x14ac:dyDescent="0.35">
      <c r="A257" t="s">
        <v>817</v>
      </c>
      <c r="B257">
        <v>270</v>
      </c>
      <c r="C257" t="s">
        <v>776</v>
      </c>
      <c r="D257" t="s">
        <v>777</v>
      </c>
      <c r="E257" t="s">
        <v>818</v>
      </c>
      <c r="F257" t="str">
        <f t="shared" si="4"/>
        <v>270-PRC-001 (PROCEDURE)</v>
      </c>
    </row>
    <row r="258" spans="1:6" hidden="1" x14ac:dyDescent="0.35">
      <c r="A258" t="s">
        <v>819</v>
      </c>
      <c r="B258">
        <v>270</v>
      </c>
      <c r="C258" t="s">
        <v>543</v>
      </c>
      <c r="D258" t="s">
        <v>544</v>
      </c>
      <c r="E258" t="s">
        <v>545</v>
      </c>
      <c r="F258" t="str">
        <f t="shared" si="4"/>
        <v>270-PRO-001 (PROCUREMENT)</v>
      </c>
    </row>
    <row r="259" spans="1:6" hidden="1" x14ac:dyDescent="0.35">
      <c r="A259" t="s">
        <v>820</v>
      </c>
      <c r="B259">
        <v>270</v>
      </c>
      <c r="C259" t="s">
        <v>490</v>
      </c>
      <c r="D259" t="s">
        <v>491</v>
      </c>
      <c r="E259" t="s">
        <v>821</v>
      </c>
      <c r="F259" t="str">
        <f t="shared" si="4"/>
        <v>270-RPT-001 (REPORT)</v>
      </c>
    </row>
    <row r="260" spans="1:6" hidden="1" x14ac:dyDescent="0.35">
      <c r="A260" t="s">
        <v>822</v>
      </c>
      <c r="B260">
        <v>270</v>
      </c>
      <c r="C260" t="s">
        <v>549</v>
      </c>
      <c r="D260" t="s">
        <v>550</v>
      </c>
      <c r="F260" t="str">
        <f t="shared" si="4"/>
        <v>270-SKT-001 (SKETCH)</v>
      </c>
    </row>
    <row r="261" spans="1:6" hidden="1" x14ac:dyDescent="0.35">
      <c r="A261" t="s">
        <v>823</v>
      </c>
      <c r="B261">
        <v>270</v>
      </c>
      <c r="C261" t="s">
        <v>552</v>
      </c>
      <c r="D261" t="s">
        <v>553</v>
      </c>
      <c r="E261" t="s">
        <v>824</v>
      </c>
      <c r="F261" t="str">
        <f t="shared" si="4"/>
        <v>270-SPC-001 (SPECIFICATION)</v>
      </c>
    </row>
    <row r="262" spans="1:6" hidden="1" x14ac:dyDescent="0.35">
      <c r="A262" t="s">
        <v>825</v>
      </c>
      <c r="B262">
        <v>270</v>
      </c>
      <c r="C262" t="s">
        <v>556</v>
      </c>
      <c r="D262" t="s">
        <v>557</v>
      </c>
      <c r="E262" t="s">
        <v>826</v>
      </c>
      <c r="F262" t="str">
        <f t="shared" si="4"/>
        <v>270-STD-001 (STANDARD)</v>
      </c>
    </row>
    <row r="263" spans="1:6" hidden="1" x14ac:dyDescent="0.35">
      <c r="A263" t="s">
        <v>827</v>
      </c>
      <c r="B263">
        <v>275</v>
      </c>
      <c r="C263" t="s">
        <v>501</v>
      </c>
      <c r="D263" t="s">
        <v>502</v>
      </c>
      <c r="E263" t="s">
        <v>828</v>
      </c>
      <c r="F263" t="str">
        <f t="shared" si="4"/>
        <v>275-CAL-001 (CALCULATION)</v>
      </c>
    </row>
    <row r="264" spans="1:6" ht="58" hidden="1" x14ac:dyDescent="0.35">
      <c r="A264" t="s">
        <v>1101</v>
      </c>
      <c r="B264">
        <v>275</v>
      </c>
      <c r="C264" t="s">
        <v>505</v>
      </c>
      <c r="D264" t="s">
        <v>506</v>
      </c>
      <c r="E264" s="6" t="s">
        <v>1102</v>
      </c>
      <c r="F264" t="str">
        <f t="shared" si="4"/>
        <v>275-CON-001 (CONTRACT)</v>
      </c>
    </row>
    <row r="265" spans="1:6" hidden="1" x14ac:dyDescent="0.35">
      <c r="A265" t="s">
        <v>829</v>
      </c>
      <c r="B265">
        <v>275</v>
      </c>
      <c r="C265" t="s">
        <v>509</v>
      </c>
      <c r="D265" t="s">
        <v>510</v>
      </c>
      <c r="E265" t="s">
        <v>830</v>
      </c>
      <c r="F265" t="str">
        <f t="shared" si="4"/>
        <v>275-CWP-001 (CONSTRUCTION WORK PACKAGE)</v>
      </c>
    </row>
    <row r="266" spans="1:6" hidden="1" x14ac:dyDescent="0.35">
      <c r="A266" t="s">
        <v>831</v>
      </c>
      <c r="B266">
        <v>275</v>
      </c>
      <c r="C266" t="s">
        <v>512</v>
      </c>
      <c r="D266" t="s">
        <v>513</v>
      </c>
      <c r="E266" t="s">
        <v>832</v>
      </c>
      <c r="F266" t="str">
        <f t="shared" si="4"/>
        <v>275-DBD-001 (DESIGN BASIS AND CRITERIA)</v>
      </c>
    </row>
    <row r="267" spans="1:6" hidden="1" x14ac:dyDescent="0.35">
      <c r="A267" t="s">
        <v>833</v>
      </c>
      <c r="B267">
        <v>275</v>
      </c>
      <c r="C267" t="s">
        <v>469</v>
      </c>
      <c r="D267" t="s">
        <v>470</v>
      </c>
      <c r="F267" t="str">
        <f t="shared" ref="F267:F304" si="5">_xlfn.CONCAT(A267, " (", D267, ")")</f>
        <v>275-DBK-001 (PROJECT DATA BOOK)</v>
      </c>
    </row>
    <row r="268" spans="1:6" hidden="1" x14ac:dyDescent="0.35">
      <c r="A268" t="s">
        <v>834</v>
      </c>
      <c r="B268">
        <v>275</v>
      </c>
      <c r="C268" t="s">
        <v>521</v>
      </c>
      <c r="D268" t="s">
        <v>522</v>
      </c>
      <c r="E268" t="s">
        <v>835</v>
      </c>
      <c r="F268" t="str">
        <f t="shared" si="5"/>
        <v>275-DIA-001 (DIAGRAM)</v>
      </c>
    </row>
    <row r="269" spans="1:6" hidden="1" x14ac:dyDescent="0.35">
      <c r="A269" t="s">
        <v>836</v>
      </c>
      <c r="B269">
        <v>275</v>
      </c>
      <c r="C269" t="s">
        <v>682</v>
      </c>
      <c r="D269" t="s">
        <v>683</v>
      </c>
      <c r="E269" t="s">
        <v>837</v>
      </c>
      <c r="F269" t="str">
        <f t="shared" si="5"/>
        <v>275-DST-001 (DATASHEET)</v>
      </c>
    </row>
    <row r="270" spans="1:6" hidden="1" x14ac:dyDescent="0.35">
      <c r="A270" t="s">
        <v>838</v>
      </c>
      <c r="B270">
        <v>275</v>
      </c>
      <c r="C270" t="s">
        <v>525</v>
      </c>
      <c r="D270" t="s">
        <v>526</v>
      </c>
      <c r="E270" t="s">
        <v>839</v>
      </c>
      <c r="F270" t="str">
        <f t="shared" si="5"/>
        <v>275-DTL-001 (DETAILS)</v>
      </c>
    </row>
    <row r="271" spans="1:6" hidden="1" x14ac:dyDescent="0.35">
      <c r="A271" t="s">
        <v>840</v>
      </c>
      <c r="B271">
        <v>275</v>
      </c>
      <c r="C271" t="s">
        <v>719</v>
      </c>
      <c r="D271" t="s">
        <v>720</v>
      </c>
      <c r="E271" t="s">
        <v>841</v>
      </c>
      <c r="F271" t="str">
        <f t="shared" si="5"/>
        <v>275-LAY-001 (LAYOUT)</v>
      </c>
    </row>
    <row r="272" spans="1:6" hidden="1" x14ac:dyDescent="0.35">
      <c r="A272" t="s">
        <v>842</v>
      </c>
      <c r="B272">
        <v>275</v>
      </c>
      <c r="C272" t="s">
        <v>484</v>
      </c>
      <c r="D272" t="s">
        <v>485</v>
      </c>
      <c r="E272" t="s">
        <v>843</v>
      </c>
      <c r="F272" t="str">
        <f t="shared" si="5"/>
        <v>275-LST-001 (LIST)</v>
      </c>
    </row>
    <row r="273" spans="1:6" hidden="1" x14ac:dyDescent="0.35">
      <c r="A273" t="s">
        <v>844</v>
      </c>
      <c r="B273">
        <v>275</v>
      </c>
      <c r="C273" t="s">
        <v>490</v>
      </c>
      <c r="D273" t="s">
        <v>491</v>
      </c>
      <c r="E273" t="s">
        <v>845</v>
      </c>
      <c r="F273" t="str">
        <f t="shared" si="5"/>
        <v>275-RPT-001 (REPORT)</v>
      </c>
    </row>
    <row r="274" spans="1:6" hidden="1" x14ac:dyDescent="0.35">
      <c r="A274" t="s">
        <v>846</v>
      </c>
      <c r="B274">
        <v>275</v>
      </c>
      <c r="C274" t="s">
        <v>552</v>
      </c>
      <c r="D274" t="s">
        <v>553</v>
      </c>
      <c r="E274" t="s">
        <v>847</v>
      </c>
      <c r="F274" t="str">
        <f t="shared" si="5"/>
        <v>275-SPC-001 (SPECIFICATION)</v>
      </c>
    </row>
    <row r="275" spans="1:6" hidden="1" x14ac:dyDescent="0.35">
      <c r="A275" t="s">
        <v>848</v>
      </c>
      <c r="B275">
        <v>275</v>
      </c>
      <c r="C275" t="s">
        <v>556</v>
      </c>
      <c r="D275" t="s">
        <v>557</v>
      </c>
      <c r="E275" t="s">
        <v>849</v>
      </c>
      <c r="F275" t="str">
        <f t="shared" si="5"/>
        <v>275-STD-001 (STANDARD)</v>
      </c>
    </row>
    <row r="276" spans="1:6" hidden="1" x14ac:dyDescent="0.35">
      <c r="A276" t="s">
        <v>850</v>
      </c>
      <c r="B276">
        <v>295</v>
      </c>
      <c r="C276" t="s">
        <v>501</v>
      </c>
      <c r="D276" t="s">
        <v>502</v>
      </c>
      <c r="F276" t="str">
        <f t="shared" si="5"/>
        <v>295-CAL-001 (CALCULATION)</v>
      </c>
    </row>
    <row r="277" spans="1:6" hidden="1" x14ac:dyDescent="0.35">
      <c r="A277" t="s">
        <v>851</v>
      </c>
      <c r="B277">
        <v>295</v>
      </c>
      <c r="C277" t="s">
        <v>505</v>
      </c>
      <c r="D277" t="s">
        <v>506</v>
      </c>
      <c r="E277" t="s">
        <v>852</v>
      </c>
      <c r="F277" t="str">
        <f t="shared" si="5"/>
        <v>295-CON-001 (CONTRACT)</v>
      </c>
    </row>
    <row r="278" spans="1:6" hidden="1" x14ac:dyDescent="0.35">
      <c r="A278" t="s">
        <v>853</v>
      </c>
      <c r="B278">
        <v>295</v>
      </c>
      <c r="C278" t="s">
        <v>509</v>
      </c>
      <c r="D278" t="s">
        <v>510</v>
      </c>
      <c r="F278" t="str">
        <f t="shared" si="5"/>
        <v>295-CWP-001 (CONSTRUCTION WORK PACKAGE)</v>
      </c>
    </row>
    <row r="279" spans="1:6" hidden="1" x14ac:dyDescent="0.35">
      <c r="A279" t="s">
        <v>854</v>
      </c>
      <c r="B279">
        <v>295</v>
      </c>
      <c r="C279" t="s">
        <v>512</v>
      </c>
      <c r="D279" t="s">
        <v>513</v>
      </c>
      <c r="E279" t="s">
        <v>855</v>
      </c>
      <c r="F279" t="str">
        <f t="shared" si="5"/>
        <v>295-DBD-001 (DESIGN BASIS AND CRITERIA)</v>
      </c>
    </row>
    <row r="280" spans="1:6" hidden="1" x14ac:dyDescent="0.35">
      <c r="A280" t="s">
        <v>856</v>
      </c>
      <c r="B280">
        <v>295</v>
      </c>
      <c r="C280" t="s">
        <v>682</v>
      </c>
      <c r="D280" t="s">
        <v>683</v>
      </c>
      <c r="E280" t="s">
        <v>857</v>
      </c>
      <c r="F280" t="str">
        <f t="shared" si="5"/>
        <v>295-DST-001 (DATASHEET)</v>
      </c>
    </row>
    <row r="281" spans="1:6" hidden="1" x14ac:dyDescent="0.35">
      <c r="A281" t="s">
        <v>858</v>
      </c>
      <c r="B281">
        <v>295</v>
      </c>
      <c r="C281" t="s">
        <v>859</v>
      </c>
      <c r="D281" t="s">
        <v>860</v>
      </c>
      <c r="E281" t="s">
        <v>861</v>
      </c>
      <c r="F281" t="str">
        <f t="shared" si="5"/>
        <v>295-DWG-001 (DRAWING)</v>
      </c>
    </row>
    <row r="282" spans="1:6" hidden="1" x14ac:dyDescent="0.35">
      <c r="A282" t="s">
        <v>862</v>
      </c>
      <c r="B282">
        <v>295</v>
      </c>
      <c r="C282" t="s">
        <v>484</v>
      </c>
      <c r="D282" t="s">
        <v>485</v>
      </c>
      <c r="E282" t="s">
        <v>863</v>
      </c>
      <c r="F282" t="str">
        <f t="shared" si="5"/>
        <v>295-LST-001 (LIST)</v>
      </c>
    </row>
    <row r="283" spans="1:6" hidden="1" x14ac:dyDescent="0.35">
      <c r="A283" t="s">
        <v>864</v>
      </c>
      <c r="B283">
        <v>295</v>
      </c>
      <c r="C283" t="s">
        <v>535</v>
      </c>
      <c r="D283" t="s">
        <v>536</v>
      </c>
      <c r="E283" t="s">
        <v>537</v>
      </c>
      <c r="F283" t="str">
        <f t="shared" si="5"/>
        <v>295-MTO-001 (MATERIAL TAKE OFF)</v>
      </c>
    </row>
    <row r="284" spans="1:6" hidden="1" x14ac:dyDescent="0.35">
      <c r="A284" t="s">
        <v>865</v>
      </c>
      <c r="B284">
        <v>295</v>
      </c>
      <c r="C284" t="s">
        <v>649</v>
      </c>
      <c r="D284" t="s">
        <v>650</v>
      </c>
      <c r="E284" t="s">
        <v>866</v>
      </c>
      <c r="F284" t="str">
        <f t="shared" si="5"/>
        <v>295-PHL-001 (PHILOSOPHY)</v>
      </c>
    </row>
    <row r="285" spans="1:6" hidden="1" x14ac:dyDescent="0.35">
      <c r="A285" t="s">
        <v>867</v>
      </c>
      <c r="B285">
        <v>295</v>
      </c>
      <c r="C285" t="s">
        <v>539</v>
      </c>
      <c r="D285" t="s">
        <v>540</v>
      </c>
      <c r="E285" t="s">
        <v>868</v>
      </c>
      <c r="F285" t="str">
        <f t="shared" si="5"/>
        <v>295-PLN-001 (PLAN)</v>
      </c>
    </row>
    <row r="286" spans="1:6" hidden="1" x14ac:dyDescent="0.35">
      <c r="A286" t="s">
        <v>869</v>
      </c>
      <c r="B286">
        <v>295</v>
      </c>
      <c r="C286" t="s">
        <v>543</v>
      </c>
      <c r="D286" t="s">
        <v>544</v>
      </c>
      <c r="E286" t="s">
        <v>870</v>
      </c>
      <c r="F286" t="str">
        <f t="shared" si="5"/>
        <v>295-PRO-001 (PROCUREMENT)</v>
      </c>
    </row>
    <row r="287" spans="1:6" hidden="1" x14ac:dyDescent="0.35">
      <c r="A287" t="s">
        <v>871</v>
      </c>
      <c r="B287">
        <v>295</v>
      </c>
      <c r="C287" t="s">
        <v>490</v>
      </c>
      <c r="D287" t="s">
        <v>491</v>
      </c>
      <c r="E287" t="s">
        <v>872</v>
      </c>
      <c r="F287" t="str">
        <f t="shared" si="5"/>
        <v>295-RPT-001 (REPORT)</v>
      </c>
    </row>
    <row r="288" spans="1:6" hidden="1" x14ac:dyDescent="0.35">
      <c r="A288" t="s">
        <v>873</v>
      </c>
      <c r="B288">
        <v>295</v>
      </c>
      <c r="C288" t="s">
        <v>549</v>
      </c>
      <c r="D288" t="s">
        <v>550</v>
      </c>
      <c r="E288" t="s">
        <v>874</v>
      </c>
      <c r="F288" t="str">
        <f t="shared" si="5"/>
        <v>295-SKT-001 (SKETCH)</v>
      </c>
    </row>
    <row r="289" spans="1:6" hidden="1" x14ac:dyDescent="0.35">
      <c r="A289" t="s">
        <v>875</v>
      </c>
      <c r="B289">
        <v>295</v>
      </c>
      <c r="C289" t="s">
        <v>552</v>
      </c>
      <c r="D289" t="s">
        <v>553</v>
      </c>
      <c r="E289" t="s">
        <v>876</v>
      </c>
      <c r="F289" t="str">
        <f t="shared" si="5"/>
        <v>295-SPC-001 (SPECIFICATION)</v>
      </c>
    </row>
    <row r="290" spans="1:6" hidden="1" x14ac:dyDescent="0.35">
      <c r="A290" t="s">
        <v>877</v>
      </c>
      <c r="B290">
        <v>653</v>
      </c>
      <c r="C290" t="s">
        <v>497</v>
      </c>
      <c r="D290" t="s">
        <v>498</v>
      </c>
      <c r="E290" t="s">
        <v>878</v>
      </c>
      <c r="F290" t="str">
        <f t="shared" si="5"/>
        <v>653-AUT-001 (AUTHORITY)</v>
      </c>
    </row>
    <row r="291" spans="1:6" hidden="1" x14ac:dyDescent="0.35">
      <c r="A291" t="s">
        <v>879</v>
      </c>
      <c r="B291">
        <v>653</v>
      </c>
      <c r="C291" t="s">
        <v>512</v>
      </c>
      <c r="D291" t="s">
        <v>513</v>
      </c>
      <c r="E291" t="s">
        <v>880</v>
      </c>
      <c r="F291" t="str">
        <f t="shared" si="5"/>
        <v>653-DBD-001 (DESIGN BASIS AND CRITERIA)</v>
      </c>
    </row>
    <row r="292" spans="1:6" hidden="1" x14ac:dyDescent="0.35">
      <c r="A292" t="s">
        <v>881</v>
      </c>
      <c r="B292">
        <v>653</v>
      </c>
      <c r="C292" t="s">
        <v>882</v>
      </c>
      <c r="D292" t="s">
        <v>883</v>
      </c>
      <c r="E292" t="s">
        <v>884</v>
      </c>
      <c r="F292" t="str">
        <f t="shared" si="5"/>
        <v>653-FHA-001 (FIRE HAZARD ANALYSIS)</v>
      </c>
    </row>
    <row r="293" spans="1:6" hidden="1" x14ac:dyDescent="0.35">
      <c r="A293" t="s">
        <v>885</v>
      </c>
      <c r="B293">
        <v>653</v>
      </c>
      <c r="C293" t="s">
        <v>886</v>
      </c>
      <c r="D293" t="s">
        <v>887</v>
      </c>
      <c r="E293" t="s">
        <v>888</v>
      </c>
      <c r="F293" t="str">
        <f t="shared" si="5"/>
        <v>653-LOP-001 (LOPA)</v>
      </c>
    </row>
    <row r="294" spans="1:6" hidden="1" x14ac:dyDescent="0.35">
      <c r="A294" t="s">
        <v>889</v>
      </c>
      <c r="B294">
        <v>653</v>
      </c>
      <c r="C294" t="s">
        <v>484</v>
      </c>
      <c r="D294" t="s">
        <v>485</v>
      </c>
      <c r="E294" t="s">
        <v>890</v>
      </c>
      <c r="F294" t="str">
        <f t="shared" si="5"/>
        <v>653-LST-001 (LIST)</v>
      </c>
    </row>
    <row r="295" spans="1:6" hidden="1" x14ac:dyDescent="0.35">
      <c r="A295" t="s">
        <v>891</v>
      </c>
      <c r="B295">
        <v>653</v>
      </c>
      <c r="C295" t="s">
        <v>892</v>
      </c>
      <c r="D295" t="s">
        <v>893</v>
      </c>
      <c r="E295" t="s">
        <v>894</v>
      </c>
      <c r="F295" t="str">
        <f t="shared" si="5"/>
        <v>653-PHA-001 (PHA STUDY)</v>
      </c>
    </row>
    <row r="296" spans="1:6" hidden="1" x14ac:dyDescent="0.35">
      <c r="A296" t="s">
        <v>895</v>
      </c>
      <c r="B296">
        <v>653</v>
      </c>
      <c r="C296" t="s">
        <v>649</v>
      </c>
      <c r="D296" t="s">
        <v>650</v>
      </c>
      <c r="E296" t="s">
        <v>896</v>
      </c>
      <c r="F296" t="str">
        <f t="shared" si="5"/>
        <v>653-PHL-001 (PHILOSOPHY)</v>
      </c>
    </row>
    <row r="297" spans="1:6" hidden="1" x14ac:dyDescent="0.35">
      <c r="A297" t="s">
        <v>897</v>
      </c>
      <c r="B297">
        <v>653</v>
      </c>
      <c r="C297" t="s">
        <v>539</v>
      </c>
      <c r="D297" t="s">
        <v>540</v>
      </c>
      <c r="E297" t="s">
        <v>898</v>
      </c>
      <c r="F297" t="str">
        <f t="shared" si="5"/>
        <v>653-PLA-001 (PLAN)</v>
      </c>
    </row>
    <row r="298" spans="1:6" hidden="1" x14ac:dyDescent="0.35">
      <c r="A298" t="s">
        <v>899</v>
      </c>
      <c r="B298">
        <v>653</v>
      </c>
      <c r="C298" t="s">
        <v>776</v>
      </c>
      <c r="D298" t="s">
        <v>777</v>
      </c>
      <c r="E298" t="s">
        <v>900</v>
      </c>
      <c r="F298" t="str">
        <f t="shared" si="5"/>
        <v>653-PRC-001 (PROCEDURE)</v>
      </c>
    </row>
    <row r="299" spans="1:6" hidden="1" x14ac:dyDescent="0.35">
      <c r="A299" t="s">
        <v>901</v>
      </c>
      <c r="B299">
        <v>653</v>
      </c>
      <c r="C299" t="s">
        <v>902</v>
      </c>
      <c r="D299" t="s">
        <v>903</v>
      </c>
      <c r="F299" t="str">
        <f t="shared" si="5"/>
        <v>653-QRA-001 (QUANTITATIVE RISK ASSESSMENT)</v>
      </c>
    </row>
    <row r="300" spans="1:6" hidden="1" x14ac:dyDescent="0.35">
      <c r="A300" t="s">
        <v>904</v>
      </c>
      <c r="B300">
        <v>653</v>
      </c>
      <c r="C300" t="s">
        <v>490</v>
      </c>
      <c r="D300" t="s">
        <v>491</v>
      </c>
      <c r="E300" t="s">
        <v>905</v>
      </c>
      <c r="F300" t="str">
        <f t="shared" si="5"/>
        <v>653-RPT-001 (REPORT)</v>
      </c>
    </row>
    <row r="301" spans="1:6" hidden="1" x14ac:dyDescent="0.35">
      <c r="A301" t="s">
        <v>906</v>
      </c>
      <c r="B301">
        <v>653</v>
      </c>
      <c r="C301" t="s">
        <v>549</v>
      </c>
      <c r="D301" t="s">
        <v>550</v>
      </c>
      <c r="E301" t="s">
        <v>907</v>
      </c>
      <c r="F301" t="str">
        <f t="shared" si="5"/>
        <v>653-SKT-001 (SKETCH)</v>
      </c>
    </row>
    <row r="302" spans="1:6" hidden="1" x14ac:dyDescent="0.35">
      <c r="A302" t="s">
        <v>908</v>
      </c>
      <c r="B302">
        <v>653</v>
      </c>
      <c r="C302" t="s">
        <v>909</v>
      </c>
      <c r="D302" t="s">
        <v>910</v>
      </c>
      <c r="E302" t="s">
        <v>911</v>
      </c>
      <c r="F302" t="str">
        <f t="shared" si="5"/>
        <v>653-SOW-001 (SCOPE OF WORK)</v>
      </c>
    </row>
    <row r="303" spans="1:6" hidden="1" x14ac:dyDescent="0.35">
      <c r="A303" t="s">
        <v>912</v>
      </c>
      <c r="B303">
        <v>653</v>
      </c>
      <c r="C303" t="s">
        <v>552</v>
      </c>
      <c r="D303" t="s">
        <v>553</v>
      </c>
      <c r="E303" t="s">
        <v>913</v>
      </c>
      <c r="F303" t="str">
        <f t="shared" si="5"/>
        <v>653-SPC-001 (SPECIFICATION)</v>
      </c>
    </row>
    <row r="304" spans="1:6" hidden="1" x14ac:dyDescent="0.35">
      <c r="A304" t="s">
        <v>914</v>
      </c>
      <c r="B304">
        <v>653</v>
      </c>
      <c r="C304" t="s">
        <v>915</v>
      </c>
      <c r="D304" t="s">
        <v>916</v>
      </c>
      <c r="E304" t="s">
        <v>917</v>
      </c>
      <c r="F304" t="str">
        <f t="shared" si="5"/>
        <v>653-TOR-001 (TERMS OF REFERENCE)</v>
      </c>
    </row>
  </sheetData>
  <autoFilter ref="A1:F304" xr:uid="{3B71F741-B2EF-4FEA-AF13-F0135ADC4643}">
    <filterColumn colId="1">
      <filters>
        <filter val="215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7BC3-E1D2-4E67-AF5F-5C28F9C09C5B}">
  <dimension ref="A1:E28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.453125" bestFit="1" customWidth="1"/>
    <col min="2" max="2" width="18.1796875" bestFit="1" customWidth="1"/>
    <col min="3" max="3" width="17.54296875" bestFit="1" customWidth="1"/>
    <col min="4" max="4" width="60.1796875" bestFit="1" customWidth="1"/>
    <col min="5" max="5" width="74.54296875" bestFit="1" customWidth="1"/>
  </cols>
  <sheetData>
    <row r="1" spans="1:5" s="2" customFormat="1" x14ac:dyDescent="0.35">
      <c r="A1" s="2" t="s">
        <v>99</v>
      </c>
      <c r="B1" s="2" t="s">
        <v>918</v>
      </c>
      <c r="C1" s="2" t="s">
        <v>919</v>
      </c>
      <c r="D1" s="2" t="s">
        <v>1</v>
      </c>
      <c r="E1" s="2" t="s">
        <v>168</v>
      </c>
    </row>
    <row r="2" spans="1:5" x14ac:dyDescent="0.35">
      <c r="A2">
        <v>500</v>
      </c>
      <c r="B2" t="s">
        <v>509</v>
      </c>
      <c r="C2" t="s">
        <v>920</v>
      </c>
      <c r="D2" t="s">
        <v>510</v>
      </c>
      <c r="E2" t="str">
        <f>_xlfn.CONCAT(C2, " (", D2, ")")</f>
        <v>500‐CWP‐001 (CONSTRUCTION WORK PACKAGE)</v>
      </c>
    </row>
    <row r="3" spans="1:5" x14ac:dyDescent="0.35">
      <c r="A3">
        <v>500</v>
      </c>
      <c r="B3" t="s">
        <v>859</v>
      </c>
      <c r="C3" t="s">
        <v>921</v>
      </c>
      <c r="D3" t="s">
        <v>922</v>
      </c>
      <c r="E3" t="str">
        <f t="shared" ref="E3:E28" si="0">_xlfn.CONCAT(C3, " (", D3, ")")</f>
        <v>500‐DWG‐001 (ENGINEERED LIFT STUDY)</v>
      </c>
    </row>
    <row r="4" spans="1:5" x14ac:dyDescent="0.35">
      <c r="A4">
        <v>500</v>
      </c>
      <c r="B4" t="s">
        <v>923</v>
      </c>
      <c r="C4" t="s">
        <v>924</v>
      </c>
      <c r="D4" t="s">
        <v>925</v>
      </c>
      <c r="E4" t="str">
        <f t="shared" si="0"/>
        <v>500‐EXE‐001 (CONSTRUCTION SCOPE OF WORK)</v>
      </c>
    </row>
    <row r="5" spans="1:5" x14ac:dyDescent="0.35">
      <c r="A5">
        <v>500</v>
      </c>
      <c r="B5" t="s">
        <v>923</v>
      </c>
      <c r="C5" t="s">
        <v>926</v>
      </c>
      <c r="D5" t="s">
        <v>927</v>
      </c>
      <c r="E5" t="str">
        <f t="shared" si="0"/>
        <v>500‐EXE‐002 (CONSTRUCTION EXECUTION PLAN)</v>
      </c>
    </row>
    <row r="6" spans="1:5" x14ac:dyDescent="0.35">
      <c r="A6">
        <v>500</v>
      </c>
      <c r="B6" t="s">
        <v>923</v>
      </c>
      <c r="C6" t="s">
        <v>928</v>
      </c>
      <c r="D6" t="s">
        <v>929</v>
      </c>
      <c r="E6" t="str">
        <f t="shared" si="0"/>
        <v>500‐EXE‐003 (MODULARIZATION AND FABRICATION PLAN)</v>
      </c>
    </row>
    <row r="7" spans="1:5" x14ac:dyDescent="0.35">
      <c r="A7">
        <v>500</v>
      </c>
      <c r="B7" t="s">
        <v>930</v>
      </c>
      <c r="C7" t="s">
        <v>931</v>
      </c>
      <c r="D7" t="s">
        <v>932</v>
      </c>
      <c r="E7" t="str">
        <f t="shared" si="0"/>
        <v>500‐FCN‐001 (FIELD CHANGE NOTICE)</v>
      </c>
    </row>
    <row r="8" spans="1:5" x14ac:dyDescent="0.35">
      <c r="A8">
        <v>500</v>
      </c>
      <c r="B8" t="s">
        <v>933</v>
      </c>
      <c r="C8" t="s">
        <v>934</v>
      </c>
      <c r="D8" t="s">
        <v>935</v>
      </c>
      <c r="E8" t="str">
        <f t="shared" si="0"/>
        <v>500‐ITP‐001 (INSPECTION AND TEST PLAN)</v>
      </c>
    </row>
    <row r="9" spans="1:5" x14ac:dyDescent="0.35">
      <c r="A9">
        <v>500</v>
      </c>
      <c r="B9" t="s">
        <v>936</v>
      </c>
      <c r="C9" t="s">
        <v>937</v>
      </c>
      <c r="D9" t="s">
        <v>938</v>
      </c>
      <c r="E9" t="str">
        <f t="shared" si="0"/>
        <v>500‐IWP‐001 (INSTALLATION WORK PACKAGE ‐ ARCHITECTURAL)</v>
      </c>
    </row>
    <row r="10" spans="1:5" x14ac:dyDescent="0.35">
      <c r="A10">
        <v>500</v>
      </c>
      <c r="B10" t="s">
        <v>936</v>
      </c>
      <c r="C10" t="s">
        <v>939</v>
      </c>
      <c r="D10" t="s">
        <v>940</v>
      </c>
      <c r="E10" t="str">
        <f t="shared" si="0"/>
        <v>500‐IWP‐002 (INSTALLATION WORK PACKAGE ‐ CONCRETE FOUNDATIONS)</v>
      </c>
    </row>
    <row r="11" spans="1:5" x14ac:dyDescent="0.35">
      <c r="A11">
        <v>500</v>
      </c>
      <c r="B11" t="s">
        <v>936</v>
      </c>
      <c r="C11" t="s">
        <v>941</v>
      </c>
      <c r="D11" t="s">
        <v>942</v>
      </c>
      <c r="E11" t="str">
        <f t="shared" si="0"/>
        <v>500‐IWP‐003 (INSTALLATION WORK PACKAGE ‐ ELECTRICAL)</v>
      </c>
    </row>
    <row r="12" spans="1:5" x14ac:dyDescent="0.35">
      <c r="A12">
        <v>500</v>
      </c>
      <c r="B12" t="s">
        <v>936</v>
      </c>
      <c r="C12" t="s">
        <v>943</v>
      </c>
      <c r="D12" t="s">
        <v>944</v>
      </c>
      <c r="E12" t="str">
        <f t="shared" si="0"/>
        <v>500‐IWP‐004 (INSTALLATION WORK PACKAGE ‐ FIREPROOFING)</v>
      </c>
    </row>
    <row r="13" spans="1:5" x14ac:dyDescent="0.35">
      <c r="A13">
        <v>500</v>
      </c>
      <c r="B13" t="s">
        <v>936</v>
      </c>
      <c r="C13" t="s">
        <v>945</v>
      </c>
      <c r="D13" t="s">
        <v>946</v>
      </c>
      <c r="E13" t="str">
        <f t="shared" si="0"/>
        <v>500‐IWP‐005 (INSTALLATION WORK PACKAGE ‐ CIVIL)</v>
      </c>
    </row>
    <row r="14" spans="1:5" x14ac:dyDescent="0.35">
      <c r="A14">
        <v>500</v>
      </c>
      <c r="B14" t="s">
        <v>936</v>
      </c>
      <c r="C14" t="s">
        <v>947</v>
      </c>
      <c r="D14" t="s">
        <v>948</v>
      </c>
      <c r="E14" t="str">
        <f t="shared" si="0"/>
        <v>500‐IWP‐006 (INSTALLATION WORK PACKAGE ‐ AUTOMATION HARDWARE)</v>
      </c>
    </row>
    <row r="15" spans="1:5" x14ac:dyDescent="0.35">
      <c r="A15">
        <v>500</v>
      </c>
      <c r="B15" t="s">
        <v>936</v>
      </c>
      <c r="C15" t="s">
        <v>949</v>
      </c>
      <c r="D15" t="s">
        <v>950</v>
      </c>
      <c r="E15" t="str">
        <f t="shared" si="0"/>
        <v>500‐IWP‐007 (INSTALLATION WORK PACKAGE ‐ CONTROL SYSTEMS)</v>
      </c>
    </row>
    <row r="16" spans="1:5" x14ac:dyDescent="0.35">
      <c r="A16">
        <v>500</v>
      </c>
      <c r="B16" t="s">
        <v>936</v>
      </c>
      <c r="C16" t="s">
        <v>951</v>
      </c>
      <c r="D16" t="s">
        <v>952</v>
      </c>
      <c r="E16" t="str">
        <f t="shared" si="0"/>
        <v>500‐IWP‐008 (INSTALLATION WORK PACKAGE ‐ PILING)</v>
      </c>
    </row>
    <row r="17" spans="1:5" x14ac:dyDescent="0.35">
      <c r="A17">
        <v>500</v>
      </c>
      <c r="B17" t="s">
        <v>936</v>
      </c>
      <c r="C17" t="s">
        <v>953</v>
      </c>
      <c r="D17" t="s">
        <v>954</v>
      </c>
      <c r="E17" t="str">
        <f t="shared" si="0"/>
        <v>500‐IWP‐009 (INSTALLATION WORK PACKAGE ‐ MECHANICAL EQUIPMENT)</v>
      </c>
    </row>
    <row r="18" spans="1:5" x14ac:dyDescent="0.35">
      <c r="A18">
        <v>500</v>
      </c>
      <c r="B18" t="s">
        <v>936</v>
      </c>
      <c r="C18" t="s">
        <v>955</v>
      </c>
      <c r="D18" t="s">
        <v>956</v>
      </c>
      <c r="E18" t="str">
        <f t="shared" si="0"/>
        <v>500‐IWP‐010 (INSTALLATION WORK PACKAGE ‐ HVAC)</v>
      </c>
    </row>
    <row r="19" spans="1:5" x14ac:dyDescent="0.35">
      <c r="A19">
        <v>500</v>
      </c>
      <c r="B19" t="s">
        <v>936</v>
      </c>
      <c r="C19" t="s">
        <v>957</v>
      </c>
      <c r="D19" t="s">
        <v>958</v>
      </c>
      <c r="E19" t="str">
        <f t="shared" si="0"/>
        <v>500‐IWP‐011 (INSTALLATION WORK PACKAGE ‐ PIPING)</v>
      </c>
    </row>
    <row r="20" spans="1:5" x14ac:dyDescent="0.35">
      <c r="A20">
        <v>500</v>
      </c>
      <c r="B20" t="s">
        <v>936</v>
      </c>
      <c r="C20" t="s">
        <v>959</v>
      </c>
      <c r="D20" t="s">
        <v>960</v>
      </c>
      <c r="E20" t="str">
        <f t="shared" si="0"/>
        <v>500‐IWP‐012 (INSTALLATION WORK PACKAGE ‐ INSULATION)</v>
      </c>
    </row>
    <row r="21" spans="1:5" x14ac:dyDescent="0.35">
      <c r="A21">
        <v>500</v>
      </c>
      <c r="B21" t="s">
        <v>936</v>
      </c>
      <c r="C21" t="s">
        <v>961</v>
      </c>
      <c r="D21" t="s">
        <v>962</v>
      </c>
      <c r="E21" t="str">
        <f t="shared" si="0"/>
        <v>500‐IWP‐013 (INSTALLATION WORK PACKAGE ‐ STRUCTURAL STEEL)</v>
      </c>
    </row>
    <row r="22" spans="1:5" x14ac:dyDescent="0.35">
      <c r="A22">
        <v>500</v>
      </c>
      <c r="B22" t="s">
        <v>936</v>
      </c>
      <c r="C22" t="s">
        <v>963</v>
      </c>
      <c r="D22" t="s">
        <v>964</v>
      </c>
      <c r="E22" t="str">
        <f t="shared" si="0"/>
        <v>500‐IWP‐014 (INSTALLATION WORK PACKAGE ‐ ELECTRICAL HEAT TRACING)</v>
      </c>
    </row>
    <row r="23" spans="1:5" x14ac:dyDescent="0.35">
      <c r="A23">
        <v>500</v>
      </c>
      <c r="B23" t="s">
        <v>936</v>
      </c>
      <c r="C23" t="s">
        <v>965</v>
      </c>
      <c r="D23" t="s">
        <v>966</v>
      </c>
      <c r="E23" t="str">
        <f t="shared" si="0"/>
        <v>500‐IWP‐015 (INSTALLATION WORK PACKAGE ‐ VESSEL LADDERS AND PLATFORMS)</v>
      </c>
    </row>
    <row r="24" spans="1:5" x14ac:dyDescent="0.35">
      <c r="A24">
        <v>500</v>
      </c>
      <c r="B24" t="s">
        <v>967</v>
      </c>
      <c r="C24" t="s">
        <v>968</v>
      </c>
      <c r="D24" t="s">
        <v>969</v>
      </c>
      <c r="E24" t="str">
        <f t="shared" si="0"/>
        <v>500‐JSA‐001 (JOB SAFETY ANALYSIS)</v>
      </c>
    </row>
    <row r="25" spans="1:5" x14ac:dyDescent="0.35">
      <c r="A25">
        <v>500</v>
      </c>
      <c r="B25" t="s">
        <v>970</v>
      </c>
      <c r="C25" t="s">
        <v>971</v>
      </c>
      <c r="D25" t="s">
        <v>972</v>
      </c>
      <c r="E25" t="str">
        <f t="shared" si="0"/>
        <v>500‐RDL‐001 (REDLINE DRAWING)</v>
      </c>
    </row>
    <row r="26" spans="1:5" x14ac:dyDescent="0.35">
      <c r="A26">
        <v>500</v>
      </c>
      <c r="B26" t="s">
        <v>490</v>
      </c>
      <c r="C26" t="s">
        <v>973</v>
      </c>
      <c r="D26" t="s">
        <v>974</v>
      </c>
      <c r="E26" t="str">
        <f t="shared" si="0"/>
        <v>500‐RPT‐001 (CONSTRUCTION SAFETY REPORT)</v>
      </c>
    </row>
    <row r="27" spans="1:5" x14ac:dyDescent="0.35">
      <c r="A27">
        <v>500</v>
      </c>
      <c r="B27" t="s">
        <v>549</v>
      </c>
      <c r="C27" t="s">
        <v>975</v>
      </c>
      <c r="D27" t="s">
        <v>976</v>
      </c>
      <c r="E27" t="str">
        <f t="shared" si="0"/>
        <v>500‐SKT‐001 (FIELD SKETCH)</v>
      </c>
    </row>
    <row r="28" spans="1:5" x14ac:dyDescent="0.35">
      <c r="A28">
        <v>500</v>
      </c>
      <c r="B28" t="s">
        <v>494</v>
      </c>
      <c r="C28" t="s">
        <v>977</v>
      </c>
      <c r="D28" t="s">
        <v>495</v>
      </c>
      <c r="E28" t="str">
        <f t="shared" si="0"/>
        <v>500‐TVR‐001 (TURNOVER DOSSIER)</v>
      </c>
    </row>
  </sheetData>
  <autoFilter ref="A1:E1" xr:uid="{09377BC3-E1D2-4E67-AF5F-5C28F9C09C5B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E8A7-AE2D-4AB3-B701-301AE515B4E3}">
  <dimension ref="A1:E46"/>
  <sheetViews>
    <sheetView zoomScale="70" zoomScaleNormal="70" workbookViewId="0">
      <pane ySplit="1" topLeftCell="A2" activePane="bottomLeft" state="frozen"/>
      <selection pane="bottomLeft"/>
    </sheetView>
  </sheetViews>
  <sheetFormatPr defaultColWidth="122" defaultRowHeight="14.5" x14ac:dyDescent="0.35"/>
  <cols>
    <col min="1" max="1" width="16" bestFit="1" customWidth="1"/>
    <col min="2" max="2" width="23.1796875" bestFit="1" customWidth="1"/>
    <col min="3" max="3" width="22.81640625" bestFit="1" customWidth="1"/>
    <col min="4" max="4" width="42.54296875" bestFit="1" customWidth="1"/>
    <col min="5" max="5" width="56.7265625" bestFit="1" customWidth="1"/>
  </cols>
  <sheetData>
    <row r="1" spans="1:5" s="2" customFormat="1" x14ac:dyDescent="0.35">
      <c r="A1" s="2" t="s">
        <v>99</v>
      </c>
      <c r="B1" s="2" t="s">
        <v>918</v>
      </c>
      <c r="C1" s="2" t="s">
        <v>919</v>
      </c>
      <c r="D1" s="2" t="s">
        <v>1</v>
      </c>
      <c r="E1" s="2" t="s">
        <v>168</v>
      </c>
    </row>
    <row r="2" spans="1:5" x14ac:dyDescent="0.35">
      <c r="A2">
        <v>100</v>
      </c>
      <c r="B2" t="s">
        <v>978</v>
      </c>
      <c r="C2" t="s">
        <v>979</v>
      </c>
      <c r="D2" t="s">
        <v>980</v>
      </c>
      <c r="E2" t="str">
        <f>_xlfn.CONCAT(C2, " (", D2, ")")</f>
        <v>100‐AQP‐001 (ACTIVITY QUALITY PLAN)</v>
      </c>
    </row>
    <row r="3" spans="1:5" x14ac:dyDescent="0.35">
      <c r="A3">
        <v>100</v>
      </c>
      <c r="B3" t="s">
        <v>981</v>
      </c>
      <c r="C3" t="s">
        <v>982</v>
      </c>
      <c r="D3" t="s">
        <v>983</v>
      </c>
      <c r="E3" t="str">
        <f t="shared" ref="E3:E46" si="0">_xlfn.CONCAT(C3, " (", D3, ")")</f>
        <v>100‐ASL‐001 (AUTHORIZED SIGNATURE LIST)</v>
      </c>
    </row>
    <row r="4" spans="1:5" x14ac:dyDescent="0.35">
      <c r="A4">
        <v>100</v>
      </c>
      <c r="B4" t="s">
        <v>984</v>
      </c>
      <c r="C4" t="s">
        <v>985</v>
      </c>
      <c r="D4" t="s">
        <v>986</v>
      </c>
      <c r="E4" t="str">
        <f t="shared" si="0"/>
        <v>100‐BID‐001 (BID TAB)</v>
      </c>
    </row>
    <row r="5" spans="1:5" x14ac:dyDescent="0.35">
      <c r="A5">
        <v>100</v>
      </c>
      <c r="B5" t="s">
        <v>987</v>
      </c>
      <c r="C5" t="s">
        <v>988</v>
      </c>
      <c r="D5" t="s">
        <v>989</v>
      </c>
      <c r="E5" t="str">
        <f t="shared" si="0"/>
        <v>100‐CFN‐001 (CONFERENCE NOTE)</v>
      </c>
    </row>
    <row r="6" spans="1:5" x14ac:dyDescent="0.35">
      <c r="A6">
        <v>100</v>
      </c>
      <c r="B6" t="s">
        <v>990</v>
      </c>
      <c r="C6" t="s">
        <v>991</v>
      </c>
      <c r="D6" t="s">
        <v>992</v>
      </c>
      <c r="E6" t="str">
        <f t="shared" si="0"/>
        <v>100‐COR‐001 (CORRESPONDENCE ‐ EXTERNAL)</v>
      </c>
    </row>
    <row r="7" spans="1:5" x14ac:dyDescent="0.35">
      <c r="A7">
        <v>100</v>
      </c>
      <c r="B7" t="s">
        <v>469</v>
      </c>
      <c r="C7" t="s">
        <v>993</v>
      </c>
      <c r="D7" t="s">
        <v>994</v>
      </c>
      <c r="E7" t="str">
        <f t="shared" si="0"/>
        <v>100‐DBK‐001 (DATA BOOK)</v>
      </c>
    </row>
    <row r="8" spans="1:5" x14ac:dyDescent="0.35">
      <c r="A8">
        <v>100</v>
      </c>
      <c r="B8" t="s">
        <v>472</v>
      </c>
      <c r="C8" t="s">
        <v>995</v>
      </c>
      <c r="D8" t="s">
        <v>473</v>
      </c>
      <c r="E8" t="str">
        <f t="shared" si="0"/>
        <v>100‐DCN‐001 (DESIGN CHANGE NOTICE)</v>
      </c>
    </row>
    <row r="9" spans="1:5" x14ac:dyDescent="0.35">
      <c r="A9">
        <v>100</v>
      </c>
      <c r="B9" t="s">
        <v>996</v>
      </c>
      <c r="C9" t="s">
        <v>997</v>
      </c>
      <c r="D9" t="s">
        <v>998</v>
      </c>
      <c r="E9" t="str">
        <f t="shared" si="0"/>
        <v>100‐DDM‐001 (DOCUMENT DISTRIBUTION MATRIX)</v>
      </c>
    </row>
    <row r="10" spans="1:5" x14ac:dyDescent="0.35">
      <c r="A10">
        <v>100</v>
      </c>
      <c r="B10" t="s">
        <v>999</v>
      </c>
      <c r="C10" t="s">
        <v>1000</v>
      </c>
      <c r="D10" t="s">
        <v>1001</v>
      </c>
      <c r="E10" t="str">
        <f t="shared" si="0"/>
        <v>100‐DEV‐001 (DEVIATION)</v>
      </c>
    </row>
    <row r="11" spans="1:5" x14ac:dyDescent="0.35">
      <c r="A11">
        <v>100</v>
      </c>
      <c r="B11" t="s">
        <v>1002</v>
      </c>
      <c r="C11" t="s">
        <v>1003</v>
      </c>
      <c r="D11" t="s">
        <v>1004</v>
      </c>
      <c r="E11" t="str">
        <f t="shared" si="0"/>
        <v>100‐DIS‐001 (DISCUSSION CONFIRMATION)</v>
      </c>
    </row>
    <row r="12" spans="1:5" x14ac:dyDescent="0.35">
      <c r="A12">
        <v>100</v>
      </c>
      <c r="B12" t="s">
        <v>1005</v>
      </c>
      <c r="C12" t="s">
        <v>1006</v>
      </c>
      <c r="D12" t="s">
        <v>1005</v>
      </c>
      <c r="E12" t="str">
        <f t="shared" si="0"/>
        <v>100‐FAX‐001 (FAX)</v>
      </c>
    </row>
    <row r="13" spans="1:5" x14ac:dyDescent="0.35">
      <c r="A13">
        <v>100</v>
      </c>
      <c r="B13" t="s">
        <v>4</v>
      </c>
      <c r="C13" t="s">
        <v>1007</v>
      </c>
      <c r="D13" t="s">
        <v>1008</v>
      </c>
      <c r="E13" t="str">
        <f t="shared" si="0"/>
        <v>100‐GEN‐001 (GENERAL DOCUMENT)</v>
      </c>
    </row>
    <row r="14" spans="1:5" x14ac:dyDescent="0.35">
      <c r="A14">
        <v>100</v>
      </c>
      <c r="B14" t="s">
        <v>1009</v>
      </c>
      <c r="C14" t="s">
        <v>1010</v>
      </c>
      <c r="D14" t="s">
        <v>1011</v>
      </c>
      <c r="E14" t="str">
        <f t="shared" si="0"/>
        <v>100‐IAG‐001 (INTERFACE AGREEMENT)</v>
      </c>
    </row>
    <row r="15" spans="1:5" x14ac:dyDescent="0.35">
      <c r="A15">
        <v>100</v>
      </c>
      <c r="B15" t="s">
        <v>1012</v>
      </c>
      <c r="C15" t="s">
        <v>1013</v>
      </c>
      <c r="D15" t="s">
        <v>1014</v>
      </c>
      <c r="E15" t="str">
        <f t="shared" si="0"/>
        <v>100‐IOC‐001 (INTEROFFICE CORRESPONDENCE)</v>
      </c>
    </row>
    <row r="16" spans="1:5" x14ac:dyDescent="0.35">
      <c r="A16">
        <v>100</v>
      </c>
      <c r="B16" t="s">
        <v>1015</v>
      </c>
      <c r="C16" t="s">
        <v>1016</v>
      </c>
      <c r="D16" t="s">
        <v>1017</v>
      </c>
      <c r="E16" t="str">
        <f t="shared" si="0"/>
        <v>100‐JOB‐001 (JOB BULLETIN)</v>
      </c>
    </row>
    <row r="17" spans="1:5" x14ac:dyDescent="0.35">
      <c r="A17">
        <v>100</v>
      </c>
      <c r="B17" t="s">
        <v>484</v>
      </c>
      <c r="C17" t="s">
        <v>1018</v>
      </c>
      <c r="D17" t="s">
        <v>1019</v>
      </c>
      <c r="E17" t="str">
        <f t="shared" si="0"/>
        <v>100‐LST‐001 (LIST ‐ LOG ‐ REGISTER)</v>
      </c>
    </row>
    <row r="18" spans="1:5" x14ac:dyDescent="0.35">
      <c r="A18">
        <v>100</v>
      </c>
      <c r="B18" t="s">
        <v>1020</v>
      </c>
      <c r="C18" t="s">
        <v>1021</v>
      </c>
      <c r="D18" t="s">
        <v>1022</v>
      </c>
      <c r="E18" t="str">
        <f t="shared" si="0"/>
        <v>100‐LTR‐001 (LETTER)</v>
      </c>
    </row>
    <row r="19" spans="1:5" x14ac:dyDescent="0.35">
      <c r="A19">
        <v>100</v>
      </c>
      <c r="B19" t="s">
        <v>1023</v>
      </c>
      <c r="C19" t="s">
        <v>1024</v>
      </c>
      <c r="D19" t="s">
        <v>1025</v>
      </c>
      <c r="E19" t="str">
        <f t="shared" si="0"/>
        <v>100‐MOM‐001 (MINUTES OF MEETING)</v>
      </c>
    </row>
    <row r="20" spans="1:5" x14ac:dyDescent="0.35">
      <c r="A20">
        <v>100</v>
      </c>
      <c r="B20" t="s">
        <v>1026</v>
      </c>
      <c r="C20" t="s">
        <v>1027</v>
      </c>
      <c r="D20" t="s">
        <v>1028</v>
      </c>
      <c r="E20" t="str">
        <f t="shared" si="0"/>
        <v>100‐MPR‐001 (MONTHLY PROGRESS REPORT)</v>
      </c>
    </row>
    <row r="21" spans="1:5" x14ac:dyDescent="0.35">
      <c r="A21">
        <v>100</v>
      </c>
      <c r="B21" t="s">
        <v>1029</v>
      </c>
      <c r="C21" t="s">
        <v>1030</v>
      </c>
      <c r="D21" t="s">
        <v>1031</v>
      </c>
      <c r="E21" t="str">
        <f t="shared" si="0"/>
        <v>100‐NDA‐001 (NON‐DISCLOSURE ACKNOWLEDGEMENT)</v>
      </c>
    </row>
    <row r="22" spans="1:5" x14ac:dyDescent="0.35">
      <c r="A22">
        <v>100</v>
      </c>
      <c r="B22" t="s">
        <v>1032</v>
      </c>
      <c r="C22" t="s">
        <v>1033</v>
      </c>
      <c r="D22" t="s">
        <v>1034</v>
      </c>
      <c r="E22" t="str">
        <f t="shared" si="0"/>
        <v>100‐ORG‐001 (ORGANIZATION CHART)</v>
      </c>
    </row>
    <row r="23" spans="1:5" x14ac:dyDescent="0.35">
      <c r="A23">
        <v>100</v>
      </c>
      <c r="B23" t="s">
        <v>1035</v>
      </c>
      <c r="C23" t="s">
        <v>1036</v>
      </c>
      <c r="D23" t="s">
        <v>1037</v>
      </c>
      <c r="E23" t="str">
        <f t="shared" si="0"/>
        <v>100‐OVR‐001 (OVERTIME REQUEST)</v>
      </c>
    </row>
    <row r="24" spans="1:5" x14ac:dyDescent="0.35">
      <c r="A24">
        <v>100</v>
      </c>
      <c r="B24" t="s">
        <v>1038</v>
      </c>
      <c r="C24" t="s">
        <v>1039</v>
      </c>
      <c r="D24" t="s">
        <v>1040</v>
      </c>
      <c r="E24" t="str">
        <f t="shared" si="0"/>
        <v>100‐PAF‐001 (PERSONNEL AUTHORIZATION FORM)</v>
      </c>
    </row>
    <row r="25" spans="1:5" x14ac:dyDescent="0.35">
      <c r="A25">
        <v>100</v>
      </c>
      <c r="B25" t="s">
        <v>1041</v>
      </c>
      <c r="C25" t="s">
        <v>1042</v>
      </c>
      <c r="D25" t="s">
        <v>1043</v>
      </c>
      <c r="E25" t="str">
        <f t="shared" si="0"/>
        <v>100‐PEP‐001 (PROJECT EXECUTION PLAN)</v>
      </c>
    </row>
    <row r="26" spans="1:5" x14ac:dyDescent="0.35">
      <c r="A26">
        <v>100</v>
      </c>
      <c r="B26" t="s">
        <v>1044</v>
      </c>
      <c r="C26" t="s">
        <v>1045</v>
      </c>
      <c r="D26" t="s">
        <v>1046</v>
      </c>
      <c r="E26" t="str">
        <f t="shared" si="0"/>
        <v>100‐PEX‐001 (PROJECT EXPERIENCES)</v>
      </c>
    </row>
    <row r="27" spans="1:5" x14ac:dyDescent="0.35">
      <c r="A27">
        <v>100</v>
      </c>
      <c r="B27" t="s">
        <v>1047</v>
      </c>
      <c r="C27" t="s">
        <v>1048</v>
      </c>
      <c r="D27" t="s">
        <v>1049</v>
      </c>
      <c r="E27" t="str">
        <f t="shared" si="0"/>
        <v>100‐PPM‐001 (PROJECT PROCEDURE MANUAL)</v>
      </c>
    </row>
    <row r="28" spans="1:5" x14ac:dyDescent="0.35">
      <c r="A28">
        <v>100</v>
      </c>
      <c r="B28" t="s">
        <v>776</v>
      </c>
      <c r="C28" t="s">
        <v>1050</v>
      </c>
      <c r="D28" t="s">
        <v>777</v>
      </c>
      <c r="E28" t="str">
        <f t="shared" si="0"/>
        <v>100‐PRC‐001 (PROCEDURE)</v>
      </c>
    </row>
    <row r="29" spans="1:5" x14ac:dyDescent="0.35">
      <c r="A29">
        <v>100</v>
      </c>
      <c r="B29" t="s">
        <v>543</v>
      </c>
      <c r="C29" t="s">
        <v>1051</v>
      </c>
      <c r="D29" t="s">
        <v>1052</v>
      </c>
      <c r="E29" t="str">
        <f t="shared" si="0"/>
        <v>100‐PRO‐001 (PROCUREMENT DOCUMENT)</v>
      </c>
    </row>
    <row r="30" spans="1:5" x14ac:dyDescent="0.35">
      <c r="A30">
        <v>100</v>
      </c>
      <c r="B30" t="s">
        <v>1053</v>
      </c>
      <c r="C30" t="s">
        <v>1054</v>
      </c>
      <c r="D30" t="s">
        <v>1055</v>
      </c>
      <c r="E30" t="str">
        <f t="shared" si="0"/>
        <v>100‐PTD‐001 (PROJECT TELEPHONE DIRECTORY ‐ LIST)</v>
      </c>
    </row>
    <row r="31" spans="1:5" x14ac:dyDescent="0.35">
      <c r="A31">
        <v>100</v>
      </c>
      <c r="B31" t="s">
        <v>1056</v>
      </c>
      <c r="C31" t="s">
        <v>1057</v>
      </c>
      <c r="D31" t="s">
        <v>1058</v>
      </c>
      <c r="E31" t="str">
        <f t="shared" si="0"/>
        <v>100‐RFI‐001 (REQUEST FOR INFORMATION)</v>
      </c>
    </row>
    <row r="32" spans="1:5" x14ac:dyDescent="0.35">
      <c r="A32">
        <v>100</v>
      </c>
      <c r="B32" t="s">
        <v>1059</v>
      </c>
      <c r="C32" t="s">
        <v>1060</v>
      </c>
      <c r="D32" t="s">
        <v>1061</v>
      </c>
      <c r="E32" t="str">
        <f t="shared" si="0"/>
        <v>100‐RFP‐001 (REQUEST FOR PROPOSAL)</v>
      </c>
    </row>
    <row r="33" spans="1:5" x14ac:dyDescent="0.35">
      <c r="A33">
        <v>100</v>
      </c>
      <c r="B33" t="s">
        <v>1062</v>
      </c>
      <c r="C33" t="s">
        <v>1063</v>
      </c>
      <c r="D33" t="s">
        <v>1064</v>
      </c>
      <c r="E33" t="str">
        <f t="shared" si="0"/>
        <v>100‐RFQ‐001 (REQUEST FOR QUOTATION)</v>
      </c>
    </row>
    <row r="34" spans="1:5" x14ac:dyDescent="0.35">
      <c r="A34">
        <v>100</v>
      </c>
      <c r="B34" t="s">
        <v>490</v>
      </c>
      <c r="C34" t="s">
        <v>1065</v>
      </c>
      <c r="D34" t="s">
        <v>1066</v>
      </c>
      <c r="E34" t="str">
        <f t="shared" si="0"/>
        <v>100‐RPT‐001 (REPORT ‐ STUDY)</v>
      </c>
    </row>
    <row r="35" spans="1:5" x14ac:dyDescent="0.35">
      <c r="A35">
        <v>100</v>
      </c>
      <c r="B35" t="s">
        <v>1067</v>
      </c>
      <c r="C35" t="s">
        <v>1068</v>
      </c>
      <c r="D35" t="s">
        <v>1069</v>
      </c>
      <c r="E35" t="str">
        <f t="shared" si="0"/>
        <v>100‐RSM‐001 (RESUME)</v>
      </c>
    </row>
    <row r="36" spans="1:5" x14ac:dyDescent="0.35">
      <c r="A36">
        <v>100</v>
      </c>
      <c r="B36" t="s">
        <v>1070</v>
      </c>
      <c r="C36" t="s">
        <v>1071</v>
      </c>
      <c r="D36" t="s">
        <v>1072</v>
      </c>
      <c r="E36" t="str">
        <f t="shared" si="0"/>
        <v>100‐SLA‐001 (SERVICE LEVEL AGREEMENT)</v>
      </c>
    </row>
    <row r="37" spans="1:5" x14ac:dyDescent="0.35">
      <c r="A37">
        <v>100</v>
      </c>
      <c r="B37" t="s">
        <v>909</v>
      </c>
      <c r="C37" t="s">
        <v>1073</v>
      </c>
      <c r="D37" t="s">
        <v>910</v>
      </c>
      <c r="E37" t="str">
        <f t="shared" si="0"/>
        <v>100‐SOW‐001 (SCOPE OF WORK)</v>
      </c>
    </row>
    <row r="38" spans="1:5" x14ac:dyDescent="0.35">
      <c r="A38">
        <v>100</v>
      </c>
      <c r="B38" t="s">
        <v>1074</v>
      </c>
      <c r="C38" t="s">
        <v>1075</v>
      </c>
      <c r="D38" t="s">
        <v>1076</v>
      </c>
      <c r="E38" t="str">
        <f t="shared" si="0"/>
        <v>100‐SWA‐001 (STOP WORK AUTHORITY)</v>
      </c>
    </row>
    <row r="39" spans="1:5" x14ac:dyDescent="0.35">
      <c r="A39">
        <v>100</v>
      </c>
      <c r="B39" t="s">
        <v>1077</v>
      </c>
      <c r="C39" t="s">
        <v>1078</v>
      </c>
      <c r="D39" t="s">
        <v>1079</v>
      </c>
      <c r="E39" t="str">
        <f t="shared" si="0"/>
        <v>100‐TEQ‐001 (TECHNICAL QUERY)</v>
      </c>
    </row>
    <row r="40" spans="1:5" x14ac:dyDescent="0.35">
      <c r="A40">
        <v>100</v>
      </c>
      <c r="B40" t="s">
        <v>1080</v>
      </c>
      <c r="C40" t="s">
        <v>1081</v>
      </c>
      <c r="D40" t="s">
        <v>1082</v>
      </c>
      <c r="E40" t="str">
        <f t="shared" si="0"/>
        <v>100‐TOC‐001 (TABLE OF CONTENTS)</v>
      </c>
    </row>
    <row r="41" spans="1:5" x14ac:dyDescent="0.35">
      <c r="A41">
        <v>100</v>
      </c>
      <c r="B41" t="s">
        <v>1083</v>
      </c>
      <c r="C41" t="s">
        <v>1084</v>
      </c>
      <c r="D41" t="s">
        <v>1085</v>
      </c>
      <c r="E41" t="str">
        <f t="shared" si="0"/>
        <v>100‐TRA‐001 (TRAVEL AUTHORIZATION)</v>
      </c>
    </row>
    <row r="42" spans="1:5" x14ac:dyDescent="0.35">
      <c r="A42">
        <v>100</v>
      </c>
      <c r="B42" t="s">
        <v>1086</v>
      </c>
      <c r="C42" t="s">
        <v>1087</v>
      </c>
      <c r="D42" t="s">
        <v>1088</v>
      </c>
      <c r="E42" t="str">
        <f t="shared" si="0"/>
        <v>100‐TRN‐001 (TRANSMITTAL)</v>
      </c>
    </row>
    <row r="43" spans="1:5" x14ac:dyDescent="0.35">
      <c r="A43">
        <v>100</v>
      </c>
      <c r="B43" t="s">
        <v>1089</v>
      </c>
      <c r="C43" t="s">
        <v>1090</v>
      </c>
      <c r="D43" t="s">
        <v>1091</v>
      </c>
      <c r="E43" t="str">
        <f t="shared" si="0"/>
        <v>100‐TRR‐001 (TRIP REQUEST)</v>
      </c>
    </row>
    <row r="44" spans="1:5" x14ac:dyDescent="0.35">
      <c r="A44">
        <v>100</v>
      </c>
      <c r="B44" t="s">
        <v>1092</v>
      </c>
      <c r="C44" t="s">
        <v>1093</v>
      </c>
      <c r="D44" t="s">
        <v>1094</v>
      </c>
      <c r="E44" t="str">
        <f t="shared" si="0"/>
        <v>100‐TXP‐001 (TECHNICAL EXCEPTION)</v>
      </c>
    </row>
    <row r="45" spans="1:5" x14ac:dyDescent="0.35">
      <c r="A45">
        <v>100</v>
      </c>
      <c r="B45" t="s">
        <v>1095</v>
      </c>
      <c r="C45" t="s">
        <v>1096</v>
      </c>
      <c r="D45" t="s">
        <v>1097</v>
      </c>
      <c r="E45" t="str">
        <f t="shared" si="0"/>
        <v>100‐VIP‐001 (VALUE IMPROVING PRACTICE)</v>
      </c>
    </row>
    <row r="46" spans="1:5" x14ac:dyDescent="0.35">
      <c r="A46">
        <v>100</v>
      </c>
      <c r="B46" t="s">
        <v>1098</v>
      </c>
      <c r="C46" t="s">
        <v>1099</v>
      </c>
      <c r="D46" t="s">
        <v>1100</v>
      </c>
      <c r="E46" t="str">
        <f t="shared" si="0"/>
        <v>100‐WSR‐001 (WORK STOPPAGE RECORD)</v>
      </c>
    </row>
  </sheetData>
  <autoFilter ref="A1:D1" xr:uid="{CDACE8A7-AE2D-4AB3-B701-301AE515B4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MDR</vt:lpstr>
      <vt:lpstr>4.1.1 Level (L1)</vt:lpstr>
      <vt:lpstr>4.1.2 Level (L2)</vt:lpstr>
      <vt:lpstr>4.1.3 Level (L3)</vt:lpstr>
      <vt:lpstr>4.1.4 (Sector (N1)</vt:lpstr>
      <vt:lpstr>4.1.5 (Sub-Sector (N2)</vt:lpstr>
      <vt:lpstr>4.1.6 (Sheet No)</vt:lpstr>
      <vt:lpstr>Dwg Disc Code</vt:lpstr>
      <vt:lpstr>4.2.4 (Tank Farm)</vt:lpstr>
      <vt:lpstr>4.7 - Building Numbers</vt:lpstr>
      <vt:lpstr>Discipline (4.8)</vt:lpstr>
      <vt:lpstr>GECMS (Att 1)</vt:lpstr>
      <vt:lpstr>Doc Type (Att 2, 3, 4)</vt:lpstr>
      <vt:lpstr>Con Doc Type (Att 3)</vt:lpstr>
      <vt:lpstr>Prg Mgmt Doc Type (Att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Trice</dc:creator>
  <cp:lastModifiedBy>Tim Trice</cp:lastModifiedBy>
  <dcterms:created xsi:type="dcterms:W3CDTF">2025-09-23T10:13:37Z</dcterms:created>
  <dcterms:modified xsi:type="dcterms:W3CDTF">2026-05-22T13:40:28Z</dcterms:modified>
</cp:coreProperties>
</file>